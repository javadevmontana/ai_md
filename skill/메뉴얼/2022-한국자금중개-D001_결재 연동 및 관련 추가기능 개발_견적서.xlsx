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연진_기술지원팀\1. 고객사\08. 한국자금중개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견적서!$A$1:$I$35</definedName>
  </definedNames>
  <calcPr calcId="152511"/>
</workbook>
</file>

<file path=xl/calcChain.xml><?xml version="1.0" encoding="utf-8"?>
<calcChain xmlns="http://schemas.openxmlformats.org/spreadsheetml/2006/main">
  <c r="H14" i="2" l="1"/>
  <c r="H15" i="2"/>
  <c r="H16" i="2"/>
  <c r="H17" i="2"/>
  <c r="E19" i="2" l="1"/>
  <c r="H18" i="2"/>
  <c r="H19" i="2" l="1"/>
  <c r="H20" i="2" s="1"/>
  <c r="B10" i="2" l="1"/>
  <c r="E20" i="2"/>
</calcChain>
</file>

<file path=xl/sharedStrings.xml><?xml version="1.0" encoding="utf-8"?>
<sst xmlns="http://schemas.openxmlformats.org/spreadsheetml/2006/main" count="50" uniqueCount="50">
  <si>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</si>
  <si>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</si>
  <si>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</si>
  <si>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</si>
  <si>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</si>
  <si>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</si>
  <si>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</si>
  <si>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</si>
  <si>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</si>
  <si>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</si>
  <si>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</si>
  <si>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</si>
  <si>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</si>
  <si>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</si>
  <si>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</si>
  <si>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</si>
  <si>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</si>
  <si>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</si>
  <si>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</si>
  <si>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</si>
  <si>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</si>
  <si>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</si>
  <si>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</si>
  <si>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</si>
  <si>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</si>
  <si>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</si>
  <si>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</si>
  <si>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</si>
  <si>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</si>
  <si>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</si>
  <si>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</si>
  <si>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</si>
  <si>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</si>
  <si>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</si>
  <si>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</si>
  <si>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</si>
  <si>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</si>
  <si>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</si>
  <si>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</si>
  <si>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2022-한국자금중개-D001</t>
    <phoneticPr fontId="6" type="noConversion"/>
  </si>
  <si>
    <t xml:space="preserve"> 한국자금중개 귀중</t>
    <phoneticPr fontId="6" type="noConversion"/>
  </si>
  <si>
    <t xml:space="preserve"> 2022. 12. 22</t>
    <phoneticPr fontId="6" type="noConversion"/>
  </si>
  <si>
    <t>- 그룹웨어에서 데이터를 관리를 하지 않음
(휴가 일수 관련 이슈는 -고객사 관리)
- 그룹웨어의 일정 로직은 이용하지 않음
(단순 텍스트 형태)</t>
    <phoneticPr fontId="6" type="noConversion"/>
  </si>
  <si>
    <t>그룹웨어에서는 관련문서ID 정보만 전달
(휴가 일수 / 시간근무 관련 이슈는 고객사 관리)</t>
    <phoneticPr fontId="6" type="noConversion"/>
  </si>
  <si>
    <t>[휴가원]
- 기안자가 신청자 변경하여 등록 가능
- 업무대행자 지정 기능 추가(일정의 부재등록과 연계)
- 기안작성 시 기간계 DB에 데이터 INSERT(이후는 상태 값 UPDATE)</t>
    <phoneticPr fontId="6" type="noConversion"/>
  </si>
  <si>
    <t>[후결 추가]
- 후결로 지정된 사용자는 결재 순서가 마지막으로 처리 됨
- 후결자가 실제 결재를 하기 전까지는 '후결'로 표시
- 후결자는 단순 결재확인 형태이므로 결재만 가능</t>
    <phoneticPr fontId="6" type="noConversion"/>
  </si>
  <si>
    <t xml:space="preserve"> 결재연동 및 관련 추가기능 개발</t>
    <phoneticPr fontId="6" type="noConversion"/>
  </si>
  <si>
    <t>[시간외근무]
- 엑셀파일 업로드를 통하여 데이터 입력 기능 추가
- 결재완료 시 기간계 DB에 데이터 INSERT</t>
    <phoneticPr fontId="6" type="noConversion"/>
  </si>
  <si>
    <t>[휴가원 취소 신청 / 시간외근무 취소 신청]
- 취소신청 시 관련문서로 지정된 문서에 대해 
조회 가능한 사용자는 해당 문서 취소 신청 가능
(기안자와 신청자가 상이하여도 조회권한이 있다면 취소 신청 가능)
- 결재완료 시 기간계 DB에 데이터 INSERT</t>
    <phoneticPr fontId="6" type="noConversion"/>
  </si>
  <si>
    <t>[재직증명서 신청]
- 결재완료 시 기간계 DB에 데이터 INSERT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</si>
</sst>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showGridLines="0" tabSelected="1" zoomScaleNormal="100" workbookViewId="0">
      <selection activeCell="A2" sqref="A2:I2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75" t="s">
        <v>14</v>
      </c>
      <c r="B2" s="75"/>
      <c r="C2" s="75"/>
      <c r="D2" s="75"/>
      <c r="E2" s="75"/>
      <c r="F2" s="75"/>
      <c r="G2" s="75"/>
      <c r="H2" s="75"/>
      <c r="I2" s="75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39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40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41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16" t="s">
        <v>46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TEXT(H20," 일금[DBNum4][$-412]G/표준원정") &amp; " (" &amp; DOLLAR(H20) &amp; " 부가세별도)"</f>
        <v xml:space="preserve"> 일금일천만원정 (₩10,000,000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76" t="s">
        <v>1</v>
      </c>
      <c r="C13" s="77"/>
      <c r="D13" s="78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57" customHeight="1" x14ac:dyDescent="0.15">
      <c r="A14" s="82"/>
      <c r="B14" s="79" t="s">
        <v>44</v>
      </c>
      <c r="C14" s="80"/>
      <c r="D14" s="81"/>
      <c r="E14" s="53">
        <v>5</v>
      </c>
      <c r="F14" s="52">
        <v>654512</v>
      </c>
      <c r="G14" s="52">
        <v>500000</v>
      </c>
      <c r="H14" s="51">
        <f t="shared" ref="H14:H17" si="0">SUM(E14:E14)*G14</f>
        <v>2500000</v>
      </c>
      <c r="I14" s="56" t="s">
        <v>42</v>
      </c>
      <c r="J14" s="36"/>
    </row>
    <row r="15" spans="1:10" s="7" customFormat="1" ht="63" customHeight="1" x14ac:dyDescent="0.15">
      <c r="A15" s="82"/>
      <c r="B15" s="79" t="s">
        <v>47</v>
      </c>
      <c r="C15" s="80"/>
      <c r="D15" s="81"/>
      <c r="E15" s="53">
        <v>5</v>
      </c>
      <c r="F15" s="52">
        <v>654512</v>
      </c>
      <c r="G15" s="52">
        <v>500000</v>
      </c>
      <c r="H15" s="51">
        <f t="shared" si="0"/>
        <v>2500000</v>
      </c>
      <c r="I15" s="56"/>
      <c r="J15" s="36"/>
    </row>
    <row r="16" spans="1:10" s="7" customFormat="1" ht="83.25" customHeight="1" x14ac:dyDescent="0.15">
      <c r="A16" s="82"/>
      <c r="B16" s="79" t="s">
        <v>48</v>
      </c>
      <c r="C16" s="80"/>
      <c r="D16" s="81"/>
      <c r="E16" s="53">
        <v>5</v>
      </c>
      <c r="F16" s="52">
        <v>654512</v>
      </c>
      <c r="G16" s="52">
        <v>500000</v>
      </c>
      <c r="H16" s="51">
        <f t="shared" si="0"/>
        <v>2500000</v>
      </c>
      <c r="I16" s="56" t="s">
        <v>43</v>
      </c>
      <c r="J16" s="36"/>
    </row>
    <row r="17" spans="1:10" s="7" customFormat="1" ht="33" customHeight="1" x14ac:dyDescent="0.15">
      <c r="A17" s="83"/>
      <c r="B17" s="79" t="s">
        <v>49</v>
      </c>
      <c r="C17" s="80"/>
      <c r="D17" s="81"/>
      <c r="E17" s="53">
        <v>2</v>
      </c>
      <c r="F17" s="52">
        <v>654512</v>
      </c>
      <c r="G17" s="52">
        <v>500000</v>
      </c>
      <c r="H17" s="51">
        <f t="shared" si="0"/>
        <v>1000000</v>
      </c>
      <c r="I17" s="56"/>
      <c r="J17" s="36"/>
    </row>
    <row r="18" spans="1:10" s="7" customFormat="1" ht="76.5" customHeight="1" x14ac:dyDescent="0.15">
      <c r="A18" s="55" t="s">
        <v>38</v>
      </c>
      <c r="B18" s="79" t="s">
        <v>45</v>
      </c>
      <c r="C18" s="80"/>
      <c r="D18" s="81"/>
      <c r="E18" s="53">
        <v>3</v>
      </c>
      <c r="F18" s="52">
        <v>654512</v>
      </c>
      <c r="G18" s="52">
        <v>500000</v>
      </c>
      <c r="H18" s="51">
        <f t="shared" ref="H18" si="1">SUM(E18:E18)*G18</f>
        <v>1500000</v>
      </c>
      <c r="I18" s="56"/>
      <c r="J18" s="36"/>
    </row>
    <row r="19" spans="1:10" s="7" customFormat="1" ht="27.75" customHeight="1" x14ac:dyDescent="0.15">
      <c r="A19" s="57" t="s">
        <v>32</v>
      </c>
      <c r="B19" s="58"/>
      <c r="C19" s="58"/>
      <c r="D19" s="59"/>
      <c r="E19" s="54" t="str">
        <f>(SUM(E14:E18))&amp;"MD"</f>
        <v>20MD</v>
      </c>
      <c r="F19" s="46"/>
      <c r="G19" s="46"/>
      <c r="H19" s="46">
        <f>SUM(H14:H18)</f>
        <v>10000000</v>
      </c>
      <c r="I19" s="47"/>
      <c r="J19" s="36"/>
    </row>
    <row r="20" spans="1:10" s="7" customFormat="1" ht="27.75" customHeight="1" x14ac:dyDescent="0.15">
      <c r="A20" s="57" t="s">
        <v>33</v>
      </c>
      <c r="B20" s="58"/>
      <c r="C20" s="58"/>
      <c r="D20" s="59"/>
      <c r="E20" s="54" t="str">
        <f>E19</f>
        <v>20MD</v>
      </c>
      <c r="F20" s="46"/>
      <c r="G20" s="46"/>
      <c r="H20" s="46">
        <f>H19</f>
        <v>10000000</v>
      </c>
      <c r="I20" s="47"/>
      <c r="J20" s="36"/>
    </row>
    <row r="21" spans="1:10" s="6" customFormat="1" ht="14.25" customHeight="1" x14ac:dyDescent="0.25">
      <c r="A21" s="30"/>
      <c r="B21" s="15"/>
      <c r="C21" s="15"/>
      <c r="D21" s="15"/>
      <c r="E21" s="11"/>
      <c r="F21" s="11"/>
      <c r="G21" s="11"/>
      <c r="H21" s="19"/>
      <c r="I21" s="20"/>
    </row>
    <row r="22" spans="1:10" s="5" customFormat="1" ht="26.25" customHeight="1" x14ac:dyDescent="0.15">
      <c r="A22" s="31" t="s">
        <v>11</v>
      </c>
      <c r="B22" s="66" t="s">
        <v>35</v>
      </c>
      <c r="C22" s="67"/>
      <c r="D22" s="67"/>
      <c r="E22" s="67"/>
      <c r="F22" s="67"/>
      <c r="G22" s="67"/>
      <c r="H22" s="67"/>
      <c r="I22" s="68"/>
    </row>
    <row r="23" spans="1:10" s="5" customFormat="1" ht="17.100000000000001" customHeight="1" x14ac:dyDescent="0.15">
      <c r="A23" s="32"/>
      <c r="B23" s="69" t="s">
        <v>36</v>
      </c>
      <c r="C23" s="70"/>
      <c r="D23" s="70"/>
      <c r="E23" s="70"/>
      <c r="F23" s="70"/>
      <c r="G23" s="70"/>
      <c r="H23" s="70"/>
      <c r="I23" s="71"/>
    </row>
    <row r="24" spans="1:10" s="5" customFormat="1" ht="17.100000000000001" customHeight="1" x14ac:dyDescent="0.15">
      <c r="A24" s="32"/>
      <c r="B24" s="69" t="s">
        <v>22</v>
      </c>
      <c r="C24" s="70"/>
      <c r="D24" s="70"/>
      <c r="E24" s="70"/>
      <c r="F24" s="70"/>
      <c r="G24" s="70"/>
      <c r="H24" s="70"/>
      <c r="I24" s="71"/>
    </row>
    <row r="25" spans="1:10" s="5" customFormat="1" ht="17.100000000000001" customHeight="1" x14ac:dyDescent="0.15">
      <c r="A25" s="32"/>
      <c r="B25" s="72" t="s">
        <v>28</v>
      </c>
      <c r="C25" s="73"/>
      <c r="D25" s="73"/>
      <c r="E25" s="73"/>
      <c r="F25" s="73"/>
      <c r="G25" s="73"/>
      <c r="H25" s="73"/>
      <c r="I25" s="74"/>
    </row>
    <row r="26" spans="1:10" s="5" customFormat="1" ht="17.100000000000001" customHeight="1" x14ac:dyDescent="0.15">
      <c r="A26" s="32"/>
      <c r="B26" s="69" t="s">
        <v>20</v>
      </c>
      <c r="C26" s="70"/>
      <c r="D26" s="70"/>
      <c r="E26" s="70"/>
      <c r="F26" s="70"/>
      <c r="G26" s="70"/>
      <c r="H26" s="70"/>
      <c r="I26" s="71"/>
    </row>
    <row r="27" spans="1:10" s="5" customFormat="1" ht="17.100000000000001" customHeight="1" x14ac:dyDescent="0.15">
      <c r="A27" s="32"/>
      <c r="B27" s="72" t="s">
        <v>21</v>
      </c>
      <c r="C27" s="73"/>
      <c r="D27" s="73"/>
      <c r="E27" s="73"/>
      <c r="F27" s="73"/>
      <c r="G27" s="73"/>
      <c r="H27" s="73"/>
      <c r="I27" s="74"/>
    </row>
    <row r="28" spans="1:10" s="5" customFormat="1" ht="17.100000000000001" customHeight="1" x14ac:dyDescent="0.15">
      <c r="A28" s="32"/>
      <c r="B28" s="72" t="s">
        <v>23</v>
      </c>
      <c r="C28" s="73"/>
      <c r="D28" s="73"/>
      <c r="E28" s="73"/>
      <c r="F28" s="73"/>
      <c r="G28" s="73"/>
      <c r="H28" s="73"/>
      <c r="I28" s="74"/>
    </row>
    <row r="29" spans="1:10" s="5" customFormat="1" ht="17.100000000000001" customHeight="1" x14ac:dyDescent="0.15">
      <c r="A29" s="32"/>
      <c r="B29" s="48" t="s">
        <v>24</v>
      </c>
      <c r="C29" s="49"/>
      <c r="D29" s="49"/>
      <c r="E29" s="49"/>
      <c r="F29" s="49"/>
      <c r="G29" s="49"/>
      <c r="H29" s="49"/>
      <c r="I29" s="50"/>
    </row>
    <row r="30" spans="1:10" s="5" customFormat="1" ht="17.100000000000001" customHeight="1" x14ac:dyDescent="0.15">
      <c r="A30" s="32"/>
      <c r="B30" s="69" t="s">
        <v>25</v>
      </c>
      <c r="C30" s="70"/>
      <c r="D30" s="70"/>
      <c r="E30" s="70"/>
      <c r="F30" s="70"/>
      <c r="G30" s="70"/>
      <c r="H30" s="70"/>
      <c r="I30" s="71"/>
    </row>
    <row r="31" spans="1:10" s="5" customFormat="1" ht="17.100000000000001" customHeight="1" x14ac:dyDescent="0.15">
      <c r="A31" s="32"/>
      <c r="B31" s="69" t="s">
        <v>31</v>
      </c>
      <c r="C31" s="70"/>
      <c r="D31" s="70"/>
      <c r="E31" s="70"/>
      <c r="F31" s="70"/>
      <c r="G31" s="70"/>
      <c r="H31" s="70"/>
      <c r="I31" s="71"/>
    </row>
    <row r="32" spans="1:10" s="5" customFormat="1" ht="17.100000000000001" customHeight="1" x14ac:dyDescent="0.15">
      <c r="A32" s="32"/>
      <c r="B32" s="69" t="s">
        <v>26</v>
      </c>
      <c r="C32" s="70"/>
      <c r="D32" s="70"/>
      <c r="E32" s="70"/>
      <c r="F32" s="70"/>
      <c r="G32" s="70"/>
      <c r="H32" s="70"/>
      <c r="I32" s="71"/>
    </row>
    <row r="33" spans="1:9" s="5" customFormat="1" ht="17.100000000000001" customHeight="1" x14ac:dyDescent="0.15">
      <c r="A33" s="32"/>
      <c r="B33" s="69" t="s">
        <v>27</v>
      </c>
      <c r="C33" s="70"/>
      <c r="D33" s="70"/>
      <c r="E33" s="70"/>
      <c r="F33" s="70"/>
      <c r="G33" s="70"/>
      <c r="H33" s="70"/>
      <c r="I33" s="71"/>
    </row>
    <row r="34" spans="1:9" s="5" customFormat="1" ht="17.100000000000001" customHeight="1" x14ac:dyDescent="0.15">
      <c r="A34" s="33"/>
      <c r="B34" s="63"/>
      <c r="C34" s="64"/>
      <c r="D34" s="64"/>
      <c r="E34" s="64"/>
      <c r="F34" s="64"/>
      <c r="G34" s="64"/>
      <c r="H34" s="64"/>
      <c r="I34" s="65"/>
    </row>
    <row r="35" spans="1:9" s="35" customFormat="1" ht="18.75" customHeight="1" x14ac:dyDescent="0.15">
      <c r="A35" s="34" t="s">
        <v>12</v>
      </c>
      <c r="B35" s="60" t="s">
        <v>37</v>
      </c>
      <c r="C35" s="61"/>
      <c r="D35" s="61"/>
      <c r="E35" s="61"/>
      <c r="F35" s="61"/>
      <c r="G35" s="61"/>
      <c r="H35" s="61"/>
      <c r="I35" s="62"/>
    </row>
    <row r="36" spans="1:9" customFormat="1" ht="15.95" customHeight="1" x14ac:dyDescent="0.15"/>
    <row r="37" spans="1:9" s="4" customFormat="1" x14ac:dyDescent="0.15"/>
    <row r="38" spans="1:9" s="4" customFormat="1" x14ac:dyDescent="0.15"/>
    <row r="39" spans="1:9" s="4" customFormat="1" x14ac:dyDescent="0.15"/>
    <row r="40" spans="1:9" s="4" customFormat="1" x14ac:dyDescent="0.15"/>
    <row r="41" spans="1:9" s="4" customFormat="1" x14ac:dyDescent="0.15"/>
    <row r="42" spans="1:9" s="4" customFormat="1" x14ac:dyDescent="0.15"/>
  </sheetData>
  <mergeCells count="23">
    <mergeCell ref="A2:I2"/>
    <mergeCell ref="B13:D13"/>
    <mergeCell ref="A19:D19"/>
    <mergeCell ref="B18:D18"/>
    <mergeCell ref="A14:A17"/>
    <mergeCell ref="B14:D14"/>
    <mergeCell ref="B15:D15"/>
    <mergeCell ref="B16:D16"/>
    <mergeCell ref="B17:D17"/>
    <mergeCell ref="A20:D20"/>
    <mergeCell ref="B35:I35"/>
    <mergeCell ref="B34:I34"/>
    <mergeCell ref="B22:I22"/>
    <mergeCell ref="B23:I23"/>
    <mergeCell ref="B33:I33"/>
    <mergeCell ref="B25:I25"/>
    <mergeCell ref="B32:I32"/>
    <mergeCell ref="B26:I26"/>
    <mergeCell ref="B31:I31"/>
    <mergeCell ref="B27:I27"/>
    <mergeCell ref="B28:I28"/>
    <mergeCell ref="B30:I30"/>
    <mergeCell ref="B24:I24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2020-09-16T08:21:47Z</cp:lastPrinted>
  <dcterms:created xsi:type="dcterms:W3CDTF">2001-05-22T00:47:40Z</dcterms:created>
  <dcterms:modified xsi:type="dcterms:W3CDTF">2022-12-22T04:39:48Z</dcterms:modified>
</cp:coreProperties>
</file>