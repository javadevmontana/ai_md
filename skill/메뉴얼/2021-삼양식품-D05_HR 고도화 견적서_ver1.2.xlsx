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박승균\고객지원팀\고객사\05. 삼양식품\견적서\HR고도화\"/>
    </mc:Choice>
  </mc:AlternateContent>
  <bookViews>
    <workbookView xWindow="0" yWindow="930" windowWidth="20280" windowHeight="1027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4" i="2" l="1"/>
  <c r="E15" i="2"/>
  <c r="H13" i="2" l="1"/>
  <c r="H15" i="2" s="1"/>
  <c r="H16" i="2" l="1"/>
  <c r="B9" i="2" s="1"/>
  <c r="E16" i="2"/>
</calcChain>
</file>

<file path=xl/sharedStrings.xml><?xml version="1.0" encoding="utf-8"?>
<sst xmlns="http://schemas.openxmlformats.org/spreadsheetml/2006/main" count="46" uniqueCount="45">
  <si>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</si>
  <si>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</si>
  <si>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</si>
  <si>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</si>
  <si>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</si>
  <si>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</si>
  <si>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</si>
  <si>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</si>
  <si>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</si>
  <si>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</si>
  <si>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</si>
  <si>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</si>
  <si>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</si>
  <si>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</si>
  <si>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</si>
  <si>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</si>
  <si>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</si>
  <si>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</si>
  <si>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</si>
  <si>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</si>
  <si>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</si>
  <si>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</si>
  <si>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</si>
  <si>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</si>
  <si>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</si>
  <si>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</si>
  <si>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</si>
  <si>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</si>
  <si>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</si>
  <si>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</si>
  <si>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</si>
  <si>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</si>
  <si>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>전제 조건
및
고려사항</t>
    <phoneticPr fontId="6" type="noConversion"/>
  </si>
  <si>
    <t xml:space="preserve">    - 8MH = 1MD,  20MD = 1MM</t>
    <phoneticPr fontId="6" type="noConversion"/>
  </si>
  <si>
    <t xml:space="preserve"> 삼양식품 귀중</t>
    <phoneticPr fontId="6" type="noConversion"/>
  </si>
  <si>
    <t>견   적   서</t>
    <phoneticPr fontId="8" type="noConversion"/>
  </si>
  <si>
    <t>합  계</t>
    <phoneticPr fontId="6" type="noConversion"/>
  </si>
  <si>
    <t>개발비</t>
    <phoneticPr fontId="6" type="noConversion"/>
  </si>
  <si>
    <t>HR 고도화 (+ SSO) 견적</t>
    <phoneticPr fontId="6" type="noConversion"/>
  </si>
  <si>
    <t>개발비</t>
    <phoneticPr fontId="6" type="noConversion"/>
  </si>
  <si>
    <t>- 상기 기재된 기능 외 변경 및 추가시 추가 공수가 발생함
- 상기 기재된 조건이 충족되지 않는 경우 추가 공수가 발생함</t>
    <phoneticPr fontId="6" type="noConversion"/>
  </si>
  <si>
    <t xml:space="preserve"> 2021-삼양식품-D05</t>
    <phoneticPr fontId="6" type="noConversion"/>
  </si>
  <si>
    <t>1. 기간계뷰 조회를 통한 아이콘 및 카운트 추가</t>
    <phoneticPr fontId="6" type="noConversion"/>
  </si>
  <si>
    <t>1. SSO 연동
 - 연동 방식은 그룹웨어를 통한 호출 방식
 -  SSO 장애 시 인증 예외 처리
 - 그룹웨어 &lt;-&gt; SSO 양방향 비밀번호 동기화
 - SSL 적용
 - 모바일은 SSO인증 제외</t>
    <phoneticPr fontId="6" type="noConversion"/>
  </si>
  <si>
    <t xml:space="preserve"> 2021. 12. 02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</si>
</sst>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9" fontId="18" fillId="0" borderId="5" xfId="2" applyNumberFormat="1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25" fillId="5" borderId="1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0" fontId="15" fillId="0" borderId="6" xfId="0" quotePrefix="1" applyFont="1" applyFill="1" applyBorder="1" applyAlignment="1">
      <alignment horizontal="left"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left" vertical="center" wrapText="1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6" fillId="2" borderId="1" xfId="1" quotePrefix="1" applyNumberFormat="1" applyFont="1" applyFill="1" applyBorder="1" applyAlignment="1" applyProtection="1">
      <alignment vertical="center" wrapText="1"/>
    </xf>
    <xf numFmtId="0" fontId="16" fillId="2" borderId="2" xfId="1" applyNumberFormat="1" applyFont="1" applyFill="1" applyBorder="1" applyAlignment="1" applyProtection="1">
      <alignment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18.44140625" style="1" customWidth="1"/>
    <col min="4" max="4" width="2.33203125" style="1" customWidth="1"/>
    <col min="5" max="5" width="5.33203125" style="1" customWidth="1"/>
    <col min="6" max="6" width="9" style="1" customWidth="1"/>
    <col min="7" max="7" width="8.88671875" style="1" customWidth="1"/>
    <col min="8" max="8" width="9.21875" style="1" customWidth="1"/>
    <col min="9" max="9" width="17.66406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73" t="s">
        <v>35</v>
      </c>
      <c r="B1" s="73"/>
      <c r="C1" s="73"/>
      <c r="D1" s="73"/>
      <c r="E1" s="73"/>
      <c r="F1" s="73"/>
      <c r="G1" s="73"/>
      <c r="H1" s="73"/>
      <c r="I1" s="73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41</v>
      </c>
      <c r="C3" s="20"/>
      <c r="D3" s="26"/>
      <c r="E3" s="33" t="s">
        <v>4</v>
      </c>
      <c r="F3" s="34"/>
      <c r="G3" s="34"/>
      <c r="H3" s="34"/>
      <c r="I3" s="35"/>
    </row>
    <row r="4" spans="1:10" s="3" customFormat="1" ht="20.100000000000001" customHeight="1" x14ac:dyDescent="0.15">
      <c r="A4" s="19" t="s">
        <v>6</v>
      </c>
      <c r="B4" s="21" t="s">
        <v>34</v>
      </c>
      <c r="C4" s="20"/>
      <c r="D4" s="26"/>
      <c r="E4" s="36" t="s">
        <v>11</v>
      </c>
      <c r="F4" s="27"/>
      <c r="G4" s="27"/>
      <c r="H4" s="27"/>
      <c r="I4" s="37"/>
    </row>
    <row r="5" spans="1:10" s="3" customFormat="1" ht="20.100000000000001" customHeight="1" x14ac:dyDescent="0.15">
      <c r="A5" s="19" t="s">
        <v>7</v>
      </c>
      <c r="B5" s="21" t="s">
        <v>44</v>
      </c>
      <c r="C5" s="20"/>
      <c r="D5" s="26"/>
      <c r="E5" s="40" t="s">
        <v>15</v>
      </c>
      <c r="F5" s="27"/>
      <c r="G5" s="27"/>
      <c r="H5" s="27"/>
      <c r="I5" s="37"/>
    </row>
    <row r="6" spans="1:10" s="3" customFormat="1" ht="20.100000000000001" customHeight="1" x14ac:dyDescent="0.15">
      <c r="A6" s="19" t="s">
        <v>8</v>
      </c>
      <c r="B6" s="21" t="s">
        <v>28</v>
      </c>
      <c r="C6" s="20"/>
      <c r="D6" s="26"/>
      <c r="E6" s="41" t="s">
        <v>13</v>
      </c>
      <c r="F6" s="38"/>
      <c r="G6" s="38"/>
      <c r="H6" s="38"/>
      <c r="I6" s="39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10</v>
      </c>
      <c r="B8" s="80" t="s">
        <v>38</v>
      </c>
      <c r="C8" s="81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TEXT(H16," 일금[DBNum4][$-412]G/표준원정") &amp; " (" &amp; DOLLAR(H16) &amp; " 부가세별도)"</f>
        <v xml:space="preserve"> 일금사백오십만원정 (₩4,500,000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8" t="s">
        <v>12</v>
      </c>
      <c r="B11" s="13"/>
      <c r="C11" s="13"/>
      <c r="D11" s="13"/>
      <c r="E11" s="9"/>
      <c r="F11" s="9"/>
      <c r="G11" s="9"/>
      <c r="H11" s="17"/>
      <c r="I11" s="18" t="s">
        <v>9</v>
      </c>
    </row>
    <row r="12" spans="1:10" s="5" customFormat="1" ht="27.75" customHeight="1" x14ac:dyDescent="0.15">
      <c r="A12" s="24" t="s">
        <v>0</v>
      </c>
      <c r="B12" s="74" t="s">
        <v>1</v>
      </c>
      <c r="C12" s="75"/>
      <c r="D12" s="76"/>
      <c r="E12" s="25" t="s">
        <v>30</v>
      </c>
      <c r="F12" s="25" t="s">
        <v>14</v>
      </c>
      <c r="G12" s="25" t="s">
        <v>2</v>
      </c>
      <c r="H12" s="25" t="s">
        <v>3</v>
      </c>
      <c r="I12" s="25" t="s">
        <v>29</v>
      </c>
      <c r="J12" s="49"/>
    </row>
    <row r="13" spans="1:10" s="5" customFormat="1" ht="129.75" customHeight="1" x14ac:dyDescent="0.15">
      <c r="A13" s="54" t="s">
        <v>37</v>
      </c>
      <c r="B13" s="77" t="s">
        <v>43</v>
      </c>
      <c r="C13" s="78"/>
      <c r="D13" s="79"/>
      <c r="E13" s="47">
        <v>6</v>
      </c>
      <c r="F13" s="52">
        <v>604342.82999999996</v>
      </c>
      <c r="G13" s="52">
        <v>500000</v>
      </c>
      <c r="H13" s="52">
        <f>SUM(E13:E13)*G13</f>
        <v>3000000</v>
      </c>
      <c r="I13" s="53"/>
      <c r="J13" s="32"/>
    </row>
    <row r="14" spans="1:10" s="5" customFormat="1" ht="129.75" customHeight="1" x14ac:dyDescent="0.15">
      <c r="A14" s="55" t="s">
        <v>39</v>
      </c>
      <c r="B14" s="77" t="s">
        <v>42</v>
      </c>
      <c r="C14" s="78"/>
      <c r="D14" s="79"/>
      <c r="E14" s="47">
        <v>3</v>
      </c>
      <c r="F14" s="52">
        <v>604342.82999999996</v>
      </c>
      <c r="G14" s="52">
        <v>500000</v>
      </c>
      <c r="H14" s="52">
        <f>SUM(E14:E14)*G14</f>
        <v>1500000</v>
      </c>
      <c r="I14" s="53"/>
      <c r="J14" s="32"/>
    </row>
    <row r="15" spans="1:10" s="5" customFormat="1" ht="21" customHeight="1" x14ac:dyDescent="0.15">
      <c r="A15" s="65" t="s">
        <v>36</v>
      </c>
      <c r="B15" s="66"/>
      <c r="C15" s="67"/>
      <c r="D15" s="68"/>
      <c r="E15" s="48">
        <f>SUM(E13:E14)</f>
        <v>9</v>
      </c>
      <c r="F15" s="42"/>
      <c r="G15" s="42"/>
      <c r="H15" s="42">
        <f>SUM(H13:H14)</f>
        <v>4500000</v>
      </c>
      <c r="I15" s="43"/>
      <c r="J15" s="32"/>
    </row>
    <row r="16" spans="1:10" s="5" customFormat="1" ht="21" customHeight="1" x14ac:dyDescent="0.15">
      <c r="A16" s="65" t="s">
        <v>16</v>
      </c>
      <c r="B16" s="67"/>
      <c r="C16" s="67"/>
      <c r="D16" s="68"/>
      <c r="E16" s="48">
        <f>E15</f>
        <v>9</v>
      </c>
      <c r="F16" s="42"/>
      <c r="G16" s="42"/>
      <c r="H16" s="42">
        <f>H15</f>
        <v>4500000</v>
      </c>
      <c r="I16" s="43"/>
      <c r="J16" s="32"/>
    </row>
    <row r="17" spans="1:10" s="4" customFormat="1" ht="14.25" customHeight="1" x14ac:dyDescent="0.25">
      <c r="A17" s="28"/>
      <c r="B17" s="13"/>
      <c r="C17" s="13"/>
      <c r="D17" s="13"/>
      <c r="E17" s="9"/>
      <c r="F17" s="9"/>
      <c r="G17" s="9"/>
      <c r="H17" s="17"/>
      <c r="I17" s="18"/>
    </row>
    <row r="18" spans="1:10" s="3" customFormat="1" ht="64.5" customHeight="1" x14ac:dyDescent="0.15">
      <c r="A18" s="51" t="s">
        <v>32</v>
      </c>
      <c r="B18" s="72" t="s">
        <v>40</v>
      </c>
      <c r="C18" s="60"/>
      <c r="D18" s="60"/>
      <c r="E18" s="60"/>
      <c r="F18" s="60"/>
      <c r="G18" s="60"/>
      <c r="H18" s="60"/>
      <c r="I18" s="61"/>
      <c r="J18" s="50"/>
    </row>
    <row r="19" spans="1:10" s="3" customFormat="1" ht="17.100000000000001" customHeight="1" x14ac:dyDescent="0.15">
      <c r="A19" s="29"/>
      <c r="B19" s="59" t="s">
        <v>19</v>
      </c>
      <c r="C19" s="60"/>
      <c r="D19" s="60"/>
      <c r="E19" s="60"/>
      <c r="F19" s="60"/>
      <c r="G19" s="60"/>
      <c r="H19" s="60"/>
      <c r="I19" s="61"/>
    </row>
    <row r="20" spans="1:10" s="3" customFormat="1" ht="17.100000000000001" customHeight="1" x14ac:dyDescent="0.15">
      <c r="A20" s="30" t="s">
        <v>31</v>
      </c>
      <c r="B20" s="62" t="s">
        <v>20</v>
      </c>
      <c r="C20" s="63"/>
      <c r="D20" s="63"/>
      <c r="E20" s="63"/>
      <c r="F20" s="63"/>
      <c r="G20" s="63"/>
      <c r="H20" s="63"/>
      <c r="I20" s="64"/>
    </row>
    <row r="21" spans="1:10" s="3" customFormat="1" ht="17.100000000000001" customHeight="1" x14ac:dyDescent="0.15">
      <c r="A21" s="30"/>
      <c r="B21" s="62" t="s">
        <v>21</v>
      </c>
      <c r="C21" s="63"/>
      <c r="D21" s="63"/>
      <c r="E21" s="63"/>
      <c r="F21" s="63"/>
      <c r="G21" s="63"/>
      <c r="H21" s="63"/>
      <c r="I21" s="64"/>
    </row>
    <row r="22" spans="1:10" s="3" customFormat="1" ht="17.100000000000001" customHeight="1" x14ac:dyDescent="0.15">
      <c r="A22" s="30"/>
      <c r="B22" s="69" t="s">
        <v>27</v>
      </c>
      <c r="C22" s="70"/>
      <c r="D22" s="70"/>
      <c r="E22" s="70"/>
      <c r="F22" s="70"/>
      <c r="G22" s="70"/>
      <c r="H22" s="70"/>
      <c r="I22" s="71"/>
    </row>
    <row r="23" spans="1:10" s="3" customFormat="1" ht="17.100000000000001" customHeight="1" x14ac:dyDescent="0.15">
      <c r="A23" s="30"/>
      <c r="B23" s="62" t="s">
        <v>17</v>
      </c>
      <c r="C23" s="63"/>
      <c r="D23" s="63"/>
      <c r="E23" s="63"/>
      <c r="F23" s="63"/>
      <c r="G23" s="63"/>
      <c r="H23" s="63"/>
      <c r="I23" s="64"/>
    </row>
    <row r="24" spans="1:10" s="3" customFormat="1" ht="17.100000000000001" customHeight="1" x14ac:dyDescent="0.15">
      <c r="A24" s="30"/>
      <c r="B24" s="69" t="s">
        <v>18</v>
      </c>
      <c r="C24" s="70"/>
      <c r="D24" s="70"/>
      <c r="E24" s="70"/>
      <c r="F24" s="70"/>
      <c r="G24" s="70"/>
      <c r="H24" s="70"/>
      <c r="I24" s="71"/>
    </row>
    <row r="25" spans="1:10" s="3" customFormat="1" ht="17.100000000000001" customHeight="1" x14ac:dyDescent="0.15">
      <c r="A25" s="30"/>
      <c r="B25" s="69" t="s">
        <v>22</v>
      </c>
      <c r="C25" s="70"/>
      <c r="D25" s="70"/>
      <c r="E25" s="70"/>
      <c r="F25" s="70"/>
      <c r="G25" s="70"/>
      <c r="H25" s="70"/>
      <c r="I25" s="71"/>
    </row>
    <row r="26" spans="1:10" s="3" customFormat="1" ht="17.100000000000001" customHeight="1" x14ac:dyDescent="0.15">
      <c r="A26" s="30"/>
      <c r="B26" s="44" t="s">
        <v>23</v>
      </c>
      <c r="C26" s="45"/>
      <c r="D26" s="45"/>
      <c r="E26" s="45"/>
      <c r="F26" s="45"/>
      <c r="G26" s="45"/>
      <c r="H26" s="45"/>
      <c r="I26" s="46"/>
    </row>
    <row r="27" spans="1:10" s="3" customFormat="1" ht="17.100000000000001" customHeight="1" x14ac:dyDescent="0.15">
      <c r="A27" s="30"/>
      <c r="B27" s="62" t="s">
        <v>24</v>
      </c>
      <c r="C27" s="63"/>
      <c r="D27" s="63"/>
      <c r="E27" s="63"/>
      <c r="F27" s="63"/>
      <c r="G27" s="63"/>
      <c r="H27" s="63"/>
      <c r="I27" s="64"/>
    </row>
    <row r="28" spans="1:10" s="3" customFormat="1" ht="17.100000000000001" customHeight="1" x14ac:dyDescent="0.15">
      <c r="A28" s="30"/>
      <c r="B28" s="62" t="s">
        <v>33</v>
      </c>
      <c r="C28" s="63"/>
      <c r="D28" s="63"/>
      <c r="E28" s="63"/>
      <c r="F28" s="63"/>
      <c r="G28" s="63"/>
      <c r="H28" s="63"/>
      <c r="I28" s="64"/>
    </row>
    <row r="29" spans="1:10" s="3" customFormat="1" ht="17.100000000000001" customHeight="1" x14ac:dyDescent="0.15">
      <c r="A29" s="30"/>
      <c r="B29" s="62" t="s">
        <v>25</v>
      </c>
      <c r="C29" s="63"/>
      <c r="D29" s="63"/>
      <c r="E29" s="63"/>
      <c r="F29" s="63"/>
      <c r="G29" s="63"/>
      <c r="H29" s="63"/>
      <c r="I29" s="64"/>
    </row>
    <row r="30" spans="1:10" s="3" customFormat="1" ht="17.100000000000001" customHeight="1" x14ac:dyDescent="0.15">
      <c r="A30" s="30"/>
      <c r="B30" s="62" t="s">
        <v>26</v>
      </c>
      <c r="C30" s="63"/>
      <c r="D30" s="63"/>
      <c r="E30" s="63"/>
      <c r="F30" s="63"/>
      <c r="G30" s="63"/>
      <c r="H30" s="63"/>
      <c r="I30" s="64"/>
    </row>
    <row r="31" spans="1:10" s="3" customFormat="1" ht="17.100000000000001" customHeight="1" x14ac:dyDescent="0.15">
      <c r="A31" s="31"/>
      <c r="B31" s="56"/>
      <c r="C31" s="57"/>
      <c r="D31" s="57"/>
      <c r="E31" s="57"/>
      <c r="F31" s="57"/>
      <c r="G31" s="57"/>
      <c r="H31" s="57"/>
      <c r="I31" s="58"/>
    </row>
    <row r="32" spans="1:10" customFormat="1" ht="15.95" customHeigh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  <row r="38" s="2" customFormat="1" x14ac:dyDescent="0.15"/>
  </sheetData>
  <mergeCells count="20">
    <mergeCell ref="A1:I1"/>
    <mergeCell ref="B12:D12"/>
    <mergeCell ref="B13:D13"/>
    <mergeCell ref="B8:C8"/>
    <mergeCell ref="B14:D14"/>
    <mergeCell ref="B31:I31"/>
    <mergeCell ref="B19:I19"/>
    <mergeCell ref="B20:I20"/>
    <mergeCell ref="A15:D15"/>
    <mergeCell ref="B30:I30"/>
    <mergeCell ref="B22:I22"/>
    <mergeCell ref="B29:I29"/>
    <mergeCell ref="B23:I23"/>
    <mergeCell ref="B28:I28"/>
    <mergeCell ref="B24:I24"/>
    <mergeCell ref="B27:I27"/>
    <mergeCell ref="A16:D16"/>
    <mergeCell ref="B21:I21"/>
    <mergeCell ref="B18:I18"/>
    <mergeCell ref="B25:I25"/>
  </mergeCells>
  <phoneticPr fontId="6" type="noConversion"/>
  <dataValidations xWindow="180" yWindow="516" count="1">
    <dataValidation allowBlank="1" showInputMessage="1" showErrorMessage="1" promptTitle="견적금액 표시" prompt="공급금액 합계(VAT별도)를 견적금액(VAT별도) 한글로 자동변환 표시" sqref="B8:B9 D8:H9 C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2019-01-18T01:10:01Z</cp:lastPrinted>
  <dcterms:created xsi:type="dcterms:W3CDTF">2001-05-22T00:47:40Z</dcterms:created>
  <dcterms:modified xsi:type="dcterms:W3CDTF">2021-12-02T09:18:04Z</dcterms:modified>
</cp:coreProperties>
</file>