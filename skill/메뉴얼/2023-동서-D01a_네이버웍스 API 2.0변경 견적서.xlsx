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ZWELL업무\고객지원팀\01.고객_계약_유지보수\09_호텔골프외식_미용_의료덴탈_헬스케어_사료\동서\추가개발\"/>
    </mc:Choice>
  </mc:AlternateContent>
  <bookViews>
    <workbookView xWindow="0" yWindow="0" windowWidth="23016" windowHeight="9084"/>
  </bookViews>
  <sheets>
    <sheet name="견적서" sheetId="3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5" i="3" s="1"/>
  <c r="B9" i="3" l="1"/>
</calcChain>
</file>

<file path=xl/sharedStrings.xml><?xml version="1.0" encoding="utf-8"?>
<sst xmlns="http://schemas.openxmlformats.org/spreadsheetml/2006/main" count="44" uniqueCount="44">
  <si>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</si>
  <si>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</si>
  <si>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</si>
  <si>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</si>
  <si>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</si>
  <si>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</si>
  <si>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</si>
  <si>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</si>
  <si>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</si>
  <si>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</si>
  <si>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</si>
  <si>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</si>
  <si>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견적 금액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</si>
  <si>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</si>
  <si>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</si>
  <si>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</si>
  <si>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</si>
  <si>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</si>
  <si>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</si>
  <si>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</si>
  <si>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</si>
  <si>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</si>
  <si>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</si>
  <si>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</si>
  <si>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</si>
  <si>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</si>
  <si>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</si>
  <si>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</si>
  <si>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</si>
  <si>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</si>
  <si>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</si>
  <si>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※ SW노임단가는 2014년 소프트웨어 기술자 노임대가 기준입니다. (제경비 110%, 기술료 30% 산정)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</si>
  <si>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</si>
  <si>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</si>
  <si>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</si>
  <si>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 xml:space="preserve"> 네이버웍스 API 2.0 변경</t>
    <phoneticPr fontId="9" type="noConversion"/>
  </si>
  <si>
    <t>네이버웍스 API 2.0 변경 건
  - 네이버웍스 API 2.0 변경 및 테스트</t>
    <phoneticPr fontId="32" type="noConversion"/>
  </si>
  <si>
    <t xml:space="preserve"> 동서</t>
    <phoneticPr fontId="9" type="noConversion"/>
  </si>
  <si>
    <t xml:space="preserve"> 견적일로부터 2개월 이내</t>
    <phoneticPr fontId="9" type="noConversion"/>
  </si>
  <si>
    <t xml:space="preserve"> 2023-동서-D01a</t>
    <phoneticPr fontId="9" type="noConversion"/>
  </si>
  <si>
    <t xml:space="preserve"> 2023. 12. 04</t>
    <phoneticPr fontId="9" type="noConversion"/>
  </si>
  <si>
    <r>
      <t xml:space="preserve">(단위:원, </t>
    </r>
    <r>
      <rPr>
        <sz val="9"/>
        <color rgb="FFFF0000"/>
        <rFont val="맑은 고딕"/>
        <family val="3"/>
        <charset val="129"/>
        <scheme val="minor"/>
      </rPr>
      <t>부가세별도</t>
    </r>
    <r>
      <rPr>
        <sz val="9"/>
        <rFont val="맑은 고딕"/>
        <family val="3"/>
        <charset val="129"/>
        <scheme val="minor"/>
      </rPr>
      <t>)</t>
    </r>
    <phoneticPr fontId="9" type="noConversion"/>
  </si>
  <si>
    <t>문  의</t>
    <phoneticPr fontId="9" type="noConversion"/>
  </si>
  <si>
    <t xml:space="preserve"> 운영지원부문  김형준이사 (kimhj@bizwell.net)  /  070-4616-5049  /  010-6565-9047   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</si>
</sst>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_);[Red]\(0.0\)"/>
    <numFmt numFmtId="177" formatCode="#,##0_ "/>
  </numFmts>
  <fonts count="3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5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17" fillId="0" borderId="6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41" fontId="13" fillId="0" borderId="0" xfId="0" applyNumberFormat="1" applyFont="1" applyAlignment="1">
      <alignment vertical="center"/>
    </xf>
    <xf numFmtId="49" fontId="18" fillId="0" borderId="5" xfId="2" applyNumberFormat="1" applyFont="1" applyBorder="1" applyAlignment="1">
      <alignment vertical="center"/>
    </xf>
    <xf numFmtId="41" fontId="17" fillId="0" borderId="11" xfId="2" applyNumberFormat="1" applyFont="1" applyBorder="1" applyAlignment="1">
      <alignment horizontal="center" vertical="center"/>
    </xf>
    <xf numFmtId="0" fontId="15" fillId="0" borderId="12" xfId="0" applyFont="1" applyBorder="1" applyAlignment="1">
      <alignment vertical="center"/>
    </xf>
    <xf numFmtId="49" fontId="18" fillId="0" borderId="6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17" fillId="0" borderId="8" xfId="2" applyNumberFormat="1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49" fontId="27" fillId="0" borderId="6" xfId="2" applyNumberFormat="1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4" xfId="2" applyFont="1" applyFill="1" applyBorder="1" applyAlignment="1">
      <alignment horizontal="center" vertical="center"/>
    </xf>
    <xf numFmtId="0" fontId="21" fillId="4" borderId="4" xfId="2" applyFont="1" applyFill="1" applyBorder="1" applyAlignment="1">
      <alignment horizontal="center" vertical="center"/>
    </xf>
    <xf numFmtId="41" fontId="21" fillId="4" borderId="4" xfId="1" applyFont="1" applyFill="1" applyBorder="1" applyAlignment="1">
      <alignment horizontal="center" vertical="center"/>
    </xf>
    <xf numFmtId="0" fontId="31" fillId="6" borderId="4" xfId="7" quotePrefix="1" applyFont="1" applyFill="1" applyBorder="1" applyAlignment="1">
      <alignment horizontal="center" vertical="center" wrapText="1"/>
    </xf>
    <xf numFmtId="0" fontId="30" fillId="0" borderId="4" xfId="0" quotePrefix="1" applyFont="1" applyBorder="1" applyAlignment="1">
      <alignment horizontal="left" vertical="center" wrapText="1"/>
    </xf>
    <xf numFmtId="0" fontId="30" fillId="0" borderId="4" xfId="0" applyFont="1" applyBorder="1" applyAlignment="1">
      <alignment horizontal="left" vertical="center" wrapText="1"/>
    </xf>
    <xf numFmtId="41" fontId="21" fillId="0" borderId="4" xfId="1" applyFont="1" applyFill="1" applyBorder="1" applyAlignment="1">
      <alignment horizontal="center" vertical="center"/>
    </xf>
    <xf numFmtId="9" fontId="21" fillId="0" borderId="4" xfId="2" applyNumberFormat="1" applyFont="1" applyBorder="1" applyAlignment="1">
      <alignment horizontal="left" vertical="center" wrapText="1"/>
    </xf>
    <xf numFmtId="0" fontId="28" fillId="5" borderId="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77" fontId="21" fillId="0" borderId="4" xfId="2" applyNumberFormat="1" applyFont="1" applyBorder="1" applyAlignment="1">
      <alignment horizontal="right" vertical="center"/>
    </xf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left" vertical="center"/>
    </xf>
    <xf numFmtId="0" fontId="34" fillId="0" borderId="0" xfId="0" applyFont="1"/>
    <xf numFmtId="0" fontId="34" fillId="0" borderId="10" xfId="0" applyFont="1" applyBorder="1"/>
    <xf numFmtId="0" fontId="21" fillId="0" borderId="6" xfId="0" applyFont="1" applyBorder="1" applyAlignment="1">
      <alignment horizontal="left" vertical="center"/>
    </xf>
    <xf numFmtId="0" fontId="34" fillId="0" borderId="0" xfId="0" applyFont="1"/>
    <xf numFmtId="0" fontId="34" fillId="0" borderId="10" xfId="0" applyFont="1" applyBorder="1"/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34" fillId="0" borderId="3" xfId="0" applyFont="1" applyBorder="1" applyAlignment="1">
      <alignment vertical="center"/>
    </xf>
  </cellXfs>
  <cellStyles count="20">
    <cellStyle name="쉼표 [0]" xfId="1" builtinId="6"/>
    <cellStyle name="쉼표 [0] 2" xfId="13"/>
    <cellStyle name="스타일 1" xfId="7"/>
    <cellStyle name="표준" xfId="0" builtinId="0"/>
    <cellStyle name="표준 2" xfId="3"/>
    <cellStyle name="표준 2 2" xfId="6"/>
    <cellStyle name="표준 3" xfId="4"/>
    <cellStyle name="표준 3 2" xfId="14"/>
    <cellStyle name="표준 4" xfId="5"/>
    <cellStyle name="표준 5" xfId="8"/>
    <cellStyle name="표준 5 2" xfId="15"/>
    <cellStyle name="표준 6" xfId="9"/>
    <cellStyle name="표준 6 2" xfId="16"/>
    <cellStyle name="표준 7" xfId="10"/>
    <cellStyle name="표준 7 2" xfId="17"/>
    <cellStyle name="표준 8" xfId="11"/>
    <cellStyle name="표준 8 2" xfId="18"/>
    <cellStyle name="표준 9" xfId="12"/>
    <cellStyle name="표준 9 2" xfId="19"/>
    <cellStyle name="표준_제출용" xfId="2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showGridLines="0" tabSelected="1" zoomScaleNormal="100" workbookViewId="0">
      <selection activeCell="H15" sqref="H15"/>
    </sheetView>
  </sheetViews>
  <sheetFormatPr defaultColWidth="8.8984375" defaultRowHeight="14.4" x14ac:dyDescent="0.25"/>
  <cols>
    <col min="1" max="1" width="10.69921875" style="1" customWidth="1"/>
    <col min="2" max="2" width="10.59765625" style="1" customWidth="1"/>
    <col min="3" max="3" width="23.59765625" style="1" customWidth="1"/>
    <col min="4" max="4" width="2.2968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17.699218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 x14ac:dyDescent="0.25">
      <c r="A1" s="43" t="s">
        <v>32</v>
      </c>
      <c r="B1" s="43"/>
      <c r="C1" s="43"/>
      <c r="D1" s="43"/>
      <c r="E1" s="43"/>
      <c r="F1" s="43"/>
      <c r="G1" s="43"/>
      <c r="H1" s="43"/>
      <c r="I1" s="43"/>
    </row>
    <row r="2" spans="1:10" s="2" customFormat="1" ht="16.5" customHeight="1" x14ac:dyDescent="0.25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 x14ac:dyDescent="0.25">
      <c r="A3" s="19" t="s">
        <v>30</v>
      </c>
      <c r="B3" s="21" t="s">
        <v>39</v>
      </c>
      <c r="C3" s="20"/>
      <c r="D3" s="24"/>
      <c r="E3" s="27" t="s">
        <v>29</v>
      </c>
      <c r="F3" s="28"/>
      <c r="G3" s="28"/>
      <c r="H3" s="28"/>
      <c r="I3" s="29"/>
    </row>
    <row r="4" spans="1:10" s="3" customFormat="1" ht="20.100000000000001" customHeight="1" x14ac:dyDescent="0.25">
      <c r="A4" s="19" t="s">
        <v>28</v>
      </c>
      <c r="B4" s="21" t="s">
        <v>37</v>
      </c>
      <c r="C4" s="20"/>
      <c r="D4" s="24"/>
      <c r="E4" s="30" t="s">
        <v>27</v>
      </c>
      <c r="F4" s="10"/>
      <c r="G4" s="10"/>
      <c r="H4" s="10"/>
      <c r="I4" s="31"/>
    </row>
    <row r="5" spans="1:10" s="3" customFormat="1" ht="20.100000000000001" customHeight="1" x14ac:dyDescent="0.25">
      <c r="A5" s="19" t="s">
        <v>26</v>
      </c>
      <c r="B5" s="21" t="s">
        <v>40</v>
      </c>
      <c r="C5" s="20"/>
      <c r="D5" s="24"/>
      <c r="E5" s="34" t="s">
        <v>25</v>
      </c>
      <c r="F5" s="10"/>
      <c r="G5" s="10"/>
      <c r="H5" s="10"/>
      <c r="I5" s="31"/>
    </row>
    <row r="6" spans="1:10" s="3" customFormat="1" ht="20.100000000000001" customHeight="1" x14ac:dyDescent="0.25">
      <c r="A6" s="19" t="s">
        <v>24</v>
      </c>
      <c r="B6" s="21" t="s">
        <v>38</v>
      </c>
      <c r="C6" s="20"/>
      <c r="D6" s="24"/>
      <c r="E6" s="35" t="s">
        <v>23</v>
      </c>
      <c r="F6" s="32"/>
      <c r="G6" s="32"/>
      <c r="H6" s="32"/>
      <c r="I6" s="33"/>
    </row>
    <row r="7" spans="1:10" s="3" customFormat="1" ht="13.5" customHeight="1" x14ac:dyDescent="0.25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 x14ac:dyDescent="0.25">
      <c r="A8" s="22" t="s">
        <v>22</v>
      </c>
      <c r="B8" s="14" t="s">
        <v>35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 x14ac:dyDescent="0.25">
      <c r="A9" s="23" t="s">
        <v>21</v>
      </c>
      <c r="B9" s="14" t="str">
        <f>TEXT(H15," 일금[DBNum4][$-412]G/표준원정") &amp; " (" &amp; DOLLAR(H15) &amp; " 부가세별도)"</f>
        <v xml:space="preserve"> 일금일천만원정 (₩10,000,000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 x14ac:dyDescent="0.35">
      <c r="A10" s="25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 x14ac:dyDescent="0.35">
      <c r="A11" s="25" t="s">
        <v>20</v>
      </c>
      <c r="B11" s="13"/>
      <c r="C11" s="13"/>
      <c r="D11" s="13"/>
      <c r="E11" s="9"/>
      <c r="F11" s="9"/>
      <c r="G11" s="9"/>
      <c r="H11" s="17"/>
      <c r="I11" s="18" t="s">
        <v>41</v>
      </c>
    </row>
    <row r="12" spans="1:10" s="5" customFormat="1" ht="21.6" customHeight="1" x14ac:dyDescent="0.25">
      <c r="A12" s="44" t="s">
        <v>19</v>
      </c>
      <c r="B12" s="45" t="s">
        <v>18</v>
      </c>
      <c r="C12" s="45"/>
      <c r="D12" s="45"/>
      <c r="E12" s="46" t="s">
        <v>17</v>
      </c>
      <c r="F12" s="46" t="s">
        <v>16</v>
      </c>
      <c r="G12" s="46" t="s">
        <v>15</v>
      </c>
      <c r="H12" s="46" t="s">
        <v>14</v>
      </c>
      <c r="I12" s="46" t="s">
        <v>13</v>
      </c>
      <c r="J12" s="39"/>
    </row>
    <row r="13" spans="1:10" s="5" customFormat="1" ht="62.4" customHeight="1" x14ac:dyDescent="0.25">
      <c r="A13" s="47" t="s">
        <v>33</v>
      </c>
      <c r="B13" s="48" t="s">
        <v>36</v>
      </c>
      <c r="C13" s="49"/>
      <c r="D13" s="49"/>
      <c r="E13" s="47">
        <v>30</v>
      </c>
      <c r="F13" s="50">
        <v>604342.82999999996</v>
      </c>
      <c r="G13" s="50">
        <v>500000</v>
      </c>
      <c r="H13" s="50">
        <f>SUM(E13:E13)*G13</f>
        <v>15000000</v>
      </c>
      <c r="I13" s="51"/>
      <c r="J13" s="26"/>
    </row>
    <row r="14" spans="1:10" s="5" customFormat="1" ht="21.6" customHeight="1" x14ac:dyDescent="0.25">
      <c r="A14" s="53" t="s">
        <v>34</v>
      </c>
      <c r="B14" s="53"/>
      <c r="C14" s="53"/>
      <c r="D14" s="53"/>
      <c r="E14" s="40"/>
      <c r="F14" s="41"/>
      <c r="G14" s="41"/>
      <c r="H14" s="54">
        <v>-5000000</v>
      </c>
      <c r="I14" s="42"/>
      <c r="J14" s="26"/>
    </row>
    <row r="15" spans="1:10" s="5" customFormat="1" ht="21.6" customHeight="1" x14ac:dyDescent="0.25">
      <c r="A15" s="52" t="s">
        <v>12</v>
      </c>
      <c r="B15" s="52"/>
      <c r="C15" s="52"/>
      <c r="D15" s="52"/>
      <c r="E15" s="38"/>
      <c r="F15" s="36"/>
      <c r="G15" s="36"/>
      <c r="H15" s="36">
        <f>SUM(H13:H14)</f>
        <v>10000000</v>
      </c>
      <c r="I15" s="37"/>
      <c r="J15" s="26"/>
    </row>
    <row r="16" spans="1:10" s="4" customFormat="1" ht="14.25" customHeight="1" x14ac:dyDescent="0.35">
      <c r="A16" s="25"/>
      <c r="B16" s="13"/>
      <c r="C16" s="13"/>
      <c r="D16" s="13"/>
      <c r="E16" s="9"/>
      <c r="F16" s="9"/>
      <c r="G16" s="9"/>
      <c r="H16" s="17"/>
      <c r="I16" s="18"/>
    </row>
    <row r="17" spans="1:9" s="3" customFormat="1" ht="17.100000000000001" customHeight="1" x14ac:dyDescent="0.25">
      <c r="A17" s="55"/>
      <c r="B17" s="56" t="s">
        <v>31</v>
      </c>
      <c r="C17" s="57"/>
      <c r="D17" s="57"/>
      <c r="E17" s="57"/>
      <c r="F17" s="57"/>
      <c r="G17" s="57"/>
      <c r="H17" s="57"/>
      <c r="I17" s="58"/>
    </row>
    <row r="18" spans="1:9" s="3" customFormat="1" ht="17.100000000000001" customHeight="1" x14ac:dyDescent="0.15">
      <c r="A18" s="59" t="s">
        <v>11</v>
      </c>
      <c r="B18" s="60" t="s">
        <v>10</v>
      </c>
      <c r="C18" s="61"/>
      <c r="D18" s="61"/>
      <c r="E18" s="61"/>
      <c r="F18" s="61"/>
      <c r="G18" s="61"/>
      <c r="H18" s="61"/>
      <c r="I18" s="62"/>
    </row>
    <row r="19" spans="1:9" s="3" customFormat="1" ht="17.100000000000001" customHeight="1" x14ac:dyDescent="0.15">
      <c r="A19" s="59"/>
      <c r="B19" s="60" t="s">
        <v>9</v>
      </c>
      <c r="C19" s="61"/>
      <c r="D19" s="61"/>
      <c r="E19" s="61"/>
      <c r="F19" s="61"/>
      <c r="G19" s="61"/>
      <c r="H19" s="61"/>
      <c r="I19" s="62"/>
    </row>
    <row r="20" spans="1:9" s="3" customFormat="1" ht="17.100000000000001" customHeight="1" x14ac:dyDescent="0.15">
      <c r="A20" s="59"/>
      <c r="B20" s="60" t="s">
        <v>8</v>
      </c>
      <c r="C20" s="61"/>
      <c r="D20" s="61"/>
      <c r="E20" s="61"/>
      <c r="F20" s="61"/>
      <c r="G20" s="61"/>
      <c r="H20" s="61"/>
      <c r="I20" s="62"/>
    </row>
    <row r="21" spans="1:9" s="3" customFormat="1" ht="17.100000000000001" customHeight="1" x14ac:dyDescent="0.15">
      <c r="A21" s="59"/>
      <c r="B21" s="60" t="s">
        <v>7</v>
      </c>
      <c r="C21" s="61"/>
      <c r="D21" s="61"/>
      <c r="E21" s="61"/>
      <c r="F21" s="61"/>
      <c r="G21" s="61"/>
      <c r="H21" s="61"/>
      <c r="I21" s="62"/>
    </row>
    <row r="22" spans="1:9" s="3" customFormat="1" ht="17.100000000000001" customHeight="1" x14ac:dyDescent="0.15">
      <c r="A22" s="59"/>
      <c r="B22" s="60" t="s">
        <v>6</v>
      </c>
      <c r="C22" s="61"/>
      <c r="D22" s="61"/>
      <c r="E22" s="61"/>
      <c r="F22" s="61"/>
      <c r="G22" s="61"/>
      <c r="H22" s="61"/>
      <c r="I22" s="62"/>
    </row>
    <row r="23" spans="1:9" s="3" customFormat="1" ht="17.100000000000001" customHeight="1" x14ac:dyDescent="0.15">
      <c r="A23" s="59"/>
      <c r="B23" s="60" t="s">
        <v>5</v>
      </c>
      <c r="C23" s="61"/>
      <c r="D23" s="61"/>
      <c r="E23" s="61"/>
      <c r="F23" s="61"/>
      <c r="G23" s="61"/>
      <c r="H23" s="61"/>
      <c r="I23" s="62"/>
    </row>
    <row r="24" spans="1:9" s="3" customFormat="1" ht="17.100000000000001" customHeight="1" x14ac:dyDescent="0.15">
      <c r="A24" s="59"/>
      <c r="B24" s="63" t="s">
        <v>4</v>
      </c>
      <c r="C24" s="64"/>
      <c r="D24" s="64"/>
      <c r="E24" s="64"/>
      <c r="F24" s="64"/>
      <c r="G24" s="64"/>
      <c r="H24" s="64"/>
      <c r="I24" s="65"/>
    </row>
    <row r="25" spans="1:9" s="3" customFormat="1" ht="17.100000000000001" customHeight="1" x14ac:dyDescent="0.15">
      <c r="A25" s="59"/>
      <c r="B25" s="60" t="s">
        <v>3</v>
      </c>
      <c r="C25" s="61"/>
      <c r="D25" s="61"/>
      <c r="E25" s="61"/>
      <c r="F25" s="61"/>
      <c r="G25" s="61"/>
      <c r="H25" s="61"/>
      <c r="I25" s="62"/>
    </row>
    <row r="26" spans="1:9" s="3" customFormat="1" ht="17.100000000000001" customHeight="1" x14ac:dyDescent="0.15">
      <c r="A26" s="59"/>
      <c r="B26" s="60" t="s">
        <v>2</v>
      </c>
      <c r="C26" s="61"/>
      <c r="D26" s="61"/>
      <c r="E26" s="61"/>
      <c r="F26" s="61"/>
      <c r="G26" s="61"/>
      <c r="H26" s="61"/>
      <c r="I26" s="62"/>
    </row>
    <row r="27" spans="1:9" s="3" customFormat="1" ht="17.100000000000001" customHeight="1" x14ac:dyDescent="0.15">
      <c r="A27" s="59"/>
      <c r="B27" s="60" t="s">
        <v>1</v>
      </c>
      <c r="C27" s="61"/>
      <c r="D27" s="61"/>
      <c r="E27" s="61"/>
      <c r="F27" s="61"/>
      <c r="G27" s="61"/>
      <c r="H27" s="61"/>
      <c r="I27" s="62"/>
    </row>
    <row r="28" spans="1:9" s="3" customFormat="1" ht="17.100000000000001" customHeight="1" x14ac:dyDescent="0.15">
      <c r="A28" s="59"/>
      <c r="B28" s="60" t="s">
        <v>0</v>
      </c>
      <c r="C28" s="61"/>
      <c r="D28" s="61"/>
      <c r="E28" s="61"/>
      <c r="F28" s="61"/>
      <c r="G28" s="61"/>
      <c r="H28" s="61"/>
      <c r="I28" s="62"/>
    </row>
    <row r="29" spans="1:9" s="69" customFormat="1" ht="18.75" customHeight="1" x14ac:dyDescent="0.25">
      <c r="A29" s="66" t="s">
        <v>42</v>
      </c>
      <c r="B29" s="67" t="s">
        <v>43</v>
      </c>
      <c r="C29" s="68"/>
      <c r="D29" s="68"/>
      <c r="E29" s="68"/>
      <c r="F29" s="68"/>
      <c r="G29" s="68"/>
      <c r="H29" s="68"/>
      <c r="I29" s="70"/>
    </row>
    <row r="30" spans="1:9" customFormat="1" ht="15.9" customHeight="1" x14ac:dyDescent="0.25"/>
    <row r="31" spans="1:9" s="2" customFormat="1" x14ac:dyDescent="0.25"/>
    <row r="32" spans="1:9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</sheetData>
  <mergeCells count="17">
    <mergeCell ref="B29:I29"/>
    <mergeCell ref="B17:I17"/>
    <mergeCell ref="B18:I18"/>
    <mergeCell ref="B28:I28"/>
    <mergeCell ref="B20:I20"/>
    <mergeCell ref="B27:I27"/>
    <mergeCell ref="A14:D14"/>
    <mergeCell ref="B21:I21"/>
    <mergeCell ref="B26:I26"/>
    <mergeCell ref="B22:I22"/>
    <mergeCell ref="B25:I25"/>
    <mergeCell ref="A15:D15"/>
    <mergeCell ref="B19:I19"/>
    <mergeCell ref="B23:I23"/>
    <mergeCell ref="A1:I1"/>
    <mergeCell ref="B12:D12"/>
    <mergeCell ref="B13:D13"/>
  </mergeCells>
  <phoneticPr fontId="32" type="noConversion"/>
  <dataValidations count="1">
    <dataValidation allowBlank="1" showInputMessage="1" showErrorMessage="1" promptTitle="견적금액 표시" prompt="공급금액 합계(VAT별도)를 견적금액(VAT별도) 한글로 자동변환 표시" sqref="B8:H9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김형준노트북</cp:lastModifiedBy>
  <cp:lastPrinted>2020-09-10T23:14:44Z</cp:lastPrinted>
  <dcterms:created xsi:type="dcterms:W3CDTF">2001-05-22T00:47:40Z</dcterms:created>
  <dcterms:modified xsi:type="dcterms:W3CDTF">2023-12-04T01:09:40Z</dcterms:modified>
</cp:coreProperties>
</file>