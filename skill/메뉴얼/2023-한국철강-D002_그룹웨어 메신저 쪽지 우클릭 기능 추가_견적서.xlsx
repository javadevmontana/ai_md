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사이트관리\한국철강\"/>
    </mc:Choice>
  </mc:AlternateContent>
  <xr:revisionPtr revIDLastSave="0" documentId="13_ncr:1_{9300C3AC-9D87-4FC4-948C-CD33256C41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견적서" sheetId="2" r:id="rId1"/>
  </sheets>
  <definedNames>
    <definedName name="_xlnm.Print_Area" localSheetId="0">견적서!$A$1:$I$31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H14" i="2"/>
  <c r="H15" i="2" l="1"/>
  <c r="H16" i="2" s="1"/>
  <c r="B10" i="2" l="1"/>
  <c r="E16" i="2"/>
</calcChain>
</file>

<file path=xl/sharedStrings.xml><?xml version="1.0" encoding="utf-8"?>
<sst xmlns="http://schemas.openxmlformats.org/spreadsheetml/2006/main" count="44" uniqueCount="44">
  <si>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</si>
  <si>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</si>
  <si>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</si>
  <si>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</si>
  <si>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</si>
  <si>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</si>
  <si>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</si>
  <si>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</si>
  <si>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</si>
  <si>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</si>
  <si>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</si>
  <si>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</si>
  <si>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</si>
  <si>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</si>
  <si>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</si>
  <si>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</si>
  <si>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</si>
  <si>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</si>
  <si>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</si>
  <si>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</si>
  <si>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</si>
  <si>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</si>
  <si>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</si>
  <si>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</si>
  <si>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</si>
  <si>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</si>
  <si>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</si>
  <si>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</si>
  <si>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</si>
  <si>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</si>
  <si>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</si>
  <si>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</si>
  <si>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</si>
  <si>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</si>
  <si>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</si>
  <si>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</si>
  <si>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</si>
  <si>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 xml:space="preserve"> 운영지원부문  김형준 이사 (kimhj@bizwell.net)  /  070-4616-5049  /  010-6565-9047</t>
    <phoneticPr fontId="6" type="noConversion"/>
  </si>
  <si>
    <t>개발비</t>
    <phoneticPr fontId="6" type="noConversion"/>
  </si>
  <si>
    <t xml:space="preserve"> 고객사 귀중</t>
    <phoneticPr fontId="6" type="noConversion"/>
  </si>
  <si>
    <t xml:space="preserve"> 메신저 쪽지 우클릭 기능 추가</t>
    <phoneticPr fontId="6" type="noConversion"/>
  </si>
  <si>
    <r>
      <rPr>
        <b/>
        <sz val="9"/>
        <rFont val="맑은 고딕"/>
        <family val="3"/>
        <charset val="129"/>
        <scheme val="minor"/>
      </rPr>
      <t>[메신저 쪽지 우클릭 기능 추가]</t>
    </r>
    <r>
      <rPr>
        <sz val="9"/>
        <rFont val="맑은 고딕"/>
        <family val="3"/>
        <charset val="129"/>
        <scheme val="minor"/>
      </rPr>
      <t xml:space="preserve">
 - 쪽지함 기능에서 블록 지정 후 우클릭 기능 추가(복사/붙여넣기)</t>
    </r>
    <phoneticPr fontId="6" type="noConversion"/>
  </si>
  <si>
    <t xml:space="preserve"> 2023-한국철강-D002</t>
    <phoneticPr fontId="6" type="noConversion"/>
  </si>
  <si>
    <t xml:space="preserve"> 2023. 04. 03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</si>
</sst>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_);[Red]\(0.0\)"/>
  </numFmts>
  <fonts count="2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Alignment="1" applyProtection="1">
      <alignment horizontal="centerContinuous" vertical="center"/>
      <protection locked="0"/>
    </xf>
    <xf numFmtId="0" fontId="14" fillId="0" borderId="0" xfId="2" applyFont="1" applyAlignment="1">
      <alignment horizontal="centerContinuous" vertical="center"/>
    </xf>
    <xf numFmtId="41" fontId="14" fillId="0" borderId="0" xfId="2" applyNumberFormat="1" applyFont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/>
    <xf numFmtId="0" fontId="27" fillId="0" borderId="11" xfId="0" applyFont="1" applyBorder="1"/>
    <xf numFmtId="41" fontId="19" fillId="0" borderId="4" xfId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9" fontId="28" fillId="0" borderId="5" xfId="2" quotePrefix="1" applyNumberFormat="1" applyFont="1" applyBorder="1" applyAlignment="1">
      <alignment horizontal="left" vertical="center" wrapText="1"/>
    </xf>
    <xf numFmtId="0" fontId="17" fillId="2" borderId="1" xfId="1" quotePrefix="1" applyNumberFormat="1" applyFont="1" applyFill="1" applyBorder="1" applyAlignment="1" applyProtection="1">
      <alignment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/>
    <xf numFmtId="0" fontId="27" fillId="0" borderId="11" xfId="0" applyFont="1" applyBorder="1"/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1" xfId="0" quotePrefix="1" applyFont="1" applyBorder="1" applyAlignment="1">
      <alignment horizontal="left" vertical="center" wrapText="1"/>
    </xf>
    <xf numFmtId="0" fontId="19" fillId="0" borderId="2" xfId="0" quotePrefix="1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</cellXfs>
  <cellStyles count="11">
    <cellStyle name="쉼표 [0]" xfId="1" builtinId="6"/>
    <cellStyle name="스타일 1" xfId="7" xr:uid="{00000000-0005-0000-0000-000001000000}"/>
    <cellStyle name="표준" xfId="0" builtinId="0"/>
    <cellStyle name="표준 2" xfId="3" xr:uid="{00000000-0005-0000-0000-000003000000}"/>
    <cellStyle name="표준 2 2" xfId="6" xr:uid="{00000000-0005-0000-0000-000004000000}"/>
    <cellStyle name="표준 3" xfId="4" xr:uid="{00000000-0005-0000-0000-000005000000}"/>
    <cellStyle name="표준 4" xfId="5" xr:uid="{00000000-0005-0000-0000-000006000000}"/>
    <cellStyle name="표준 5" xfId="8" xr:uid="{00000000-0005-0000-0000-000007000000}"/>
    <cellStyle name="표준 6" xfId="9" xr:uid="{00000000-0005-0000-0000-000008000000}"/>
    <cellStyle name="표준 7" xfId="10" xr:uid="{00000000-0005-0000-0000-000009000000}"/>
    <cellStyle name="표준_제출용" xfId="2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showGridLines="0" tabSelected="1" zoomScaleNormal="100" workbookViewId="0">
      <selection activeCell="B7" sqref="B7"/>
    </sheetView>
  </sheetViews>
  <sheetFormatPr defaultColWidth="8.8984375" defaultRowHeight="14.4"/>
  <cols>
    <col min="1" max="1" width="11.19921875" style="1" customWidth="1"/>
    <col min="2" max="2" width="10.59765625" style="1" customWidth="1"/>
    <col min="3" max="3" width="20.19921875" style="1" customWidth="1"/>
    <col min="4" max="4" width="13.19921875" style="1" customWidth="1"/>
    <col min="5" max="5" width="8.09765625" style="1" customWidth="1"/>
    <col min="6" max="6" width="9.796875" style="1" bestFit="1" customWidth="1"/>
    <col min="7" max="7" width="9.296875" style="1" bestFit="1" customWidth="1"/>
    <col min="8" max="8" width="11.796875" style="1" customWidth="1"/>
    <col min="9" max="9" width="31.69921875" style="1" customWidth="1"/>
    <col min="10" max="10" width="10.69921875" style="1" bestFit="1" customWidth="1"/>
    <col min="11" max="16384" width="8.8984375" style="1"/>
  </cols>
  <sheetData>
    <row r="1" spans="1:10" s="4" customFormat="1" ht="15.75" customHeight="1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>
      <c r="A2" s="72" t="s">
        <v>14</v>
      </c>
      <c r="B2" s="72"/>
      <c r="C2" s="72"/>
      <c r="D2" s="72"/>
      <c r="E2" s="72"/>
      <c r="F2" s="72"/>
      <c r="G2" s="72"/>
      <c r="H2" s="72"/>
      <c r="I2" s="72"/>
    </row>
    <row r="3" spans="1:10" s="4" customFormat="1" ht="16.5" customHeight="1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>
      <c r="A4" s="21" t="s">
        <v>5</v>
      </c>
      <c r="B4" s="23" t="s">
        <v>42</v>
      </c>
      <c r="C4" s="22"/>
      <c r="D4" s="28"/>
      <c r="E4" s="36" t="s">
        <v>4</v>
      </c>
      <c r="F4" s="37"/>
      <c r="G4" s="37"/>
      <c r="H4" s="37"/>
      <c r="I4" s="38"/>
    </row>
    <row r="5" spans="1:10" s="5" customFormat="1" ht="20.100000000000001" customHeight="1">
      <c r="A5" s="21" t="s">
        <v>6</v>
      </c>
      <c r="B5" s="23" t="s">
        <v>39</v>
      </c>
      <c r="C5" s="22"/>
      <c r="D5" s="28"/>
      <c r="E5" s="39" t="s">
        <v>13</v>
      </c>
      <c r="F5" s="12"/>
      <c r="G5" s="12"/>
      <c r="H5" s="12"/>
      <c r="I5" s="40"/>
    </row>
    <row r="6" spans="1:10" s="5" customFormat="1" ht="20.100000000000001" customHeight="1">
      <c r="A6" s="21" t="s">
        <v>7</v>
      </c>
      <c r="B6" s="23" t="s">
        <v>43</v>
      </c>
      <c r="C6" s="22"/>
      <c r="D6" s="28"/>
      <c r="E6" s="43" t="s">
        <v>18</v>
      </c>
      <c r="F6" s="12"/>
      <c r="G6" s="12"/>
      <c r="H6" s="12"/>
      <c r="I6" s="40"/>
    </row>
    <row r="7" spans="1:10" s="5" customFormat="1" ht="20.100000000000001" customHeight="1">
      <c r="A7" s="21" t="s">
        <v>8</v>
      </c>
      <c r="B7" s="23" t="s">
        <v>29</v>
      </c>
      <c r="C7" s="22"/>
      <c r="D7" s="28"/>
      <c r="E7" s="44" t="s">
        <v>16</v>
      </c>
      <c r="F7" s="41"/>
      <c r="G7" s="41"/>
      <c r="H7" s="41"/>
      <c r="I7" s="42"/>
    </row>
    <row r="8" spans="1:10" s="5" customFormat="1" ht="13.5" customHeight="1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>
      <c r="A9" s="24" t="s">
        <v>10</v>
      </c>
      <c r="B9" s="56" t="s">
        <v>40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>
      <c r="A10" s="25" t="s">
        <v>19</v>
      </c>
      <c r="B10" s="16" t="str">
        <f>TEXT(H16," 일금[DBNum4][$-412]G/표준원정") &amp; " (" &amp; DOLLAR(H16) &amp; " 부가세별도)"</f>
        <v xml:space="preserve"> 일금오십만원정 (₩500,000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>
      <c r="A11" s="29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>
      <c r="A12" s="29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>
      <c r="A13" s="26" t="s">
        <v>0</v>
      </c>
      <c r="B13" s="73" t="s">
        <v>1</v>
      </c>
      <c r="C13" s="74"/>
      <c r="D13" s="75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50.25" customHeight="1">
      <c r="A14" s="54" t="s">
        <v>38</v>
      </c>
      <c r="B14" s="79" t="s">
        <v>41</v>
      </c>
      <c r="C14" s="80"/>
      <c r="D14" s="81"/>
      <c r="E14" s="52">
        <v>1</v>
      </c>
      <c r="F14" s="51">
        <v>654512</v>
      </c>
      <c r="G14" s="51">
        <v>500000</v>
      </c>
      <c r="H14" s="50">
        <f t="shared" ref="H14" si="0">SUM(E14:E14)*G14</f>
        <v>500000</v>
      </c>
      <c r="I14" s="55"/>
      <c r="J14" s="35"/>
    </row>
    <row r="15" spans="1:10" s="7" customFormat="1" ht="27.75" customHeight="1">
      <c r="A15" s="76" t="s">
        <v>32</v>
      </c>
      <c r="B15" s="77"/>
      <c r="C15" s="77"/>
      <c r="D15" s="78"/>
      <c r="E15" s="53" t="str">
        <f>(SUM(E14:E14))&amp;"MD"</f>
        <v>1MD</v>
      </c>
      <c r="F15" s="45"/>
      <c r="G15" s="45"/>
      <c r="H15" s="45">
        <f>SUM(H14:H14)</f>
        <v>500000</v>
      </c>
      <c r="I15" s="46"/>
      <c r="J15" s="35"/>
    </row>
    <row r="16" spans="1:10" s="7" customFormat="1" ht="27.75" customHeight="1">
      <c r="A16" s="76" t="s">
        <v>33</v>
      </c>
      <c r="B16" s="77"/>
      <c r="C16" s="77"/>
      <c r="D16" s="78"/>
      <c r="E16" s="53" t="str">
        <f>E15</f>
        <v>1MD</v>
      </c>
      <c r="F16" s="45"/>
      <c r="G16" s="45"/>
      <c r="H16" s="45">
        <f>H15</f>
        <v>500000</v>
      </c>
      <c r="I16" s="46"/>
      <c r="J16" s="35"/>
    </row>
    <row r="17" spans="1:9" s="6" customFormat="1" ht="14.25" customHeight="1">
      <c r="A17" s="29"/>
      <c r="B17" s="15"/>
      <c r="C17" s="15"/>
      <c r="D17" s="15"/>
      <c r="E17" s="11"/>
      <c r="F17" s="11"/>
      <c r="G17" s="11"/>
      <c r="H17" s="19"/>
      <c r="I17" s="20"/>
    </row>
    <row r="18" spans="1:9" s="5" customFormat="1" ht="26.25" customHeight="1">
      <c r="A18" s="30" t="s">
        <v>11</v>
      </c>
      <c r="B18" s="63" t="s">
        <v>35</v>
      </c>
      <c r="C18" s="64"/>
      <c r="D18" s="64"/>
      <c r="E18" s="64"/>
      <c r="F18" s="64"/>
      <c r="G18" s="64"/>
      <c r="H18" s="64"/>
      <c r="I18" s="65"/>
    </row>
    <row r="19" spans="1:9" s="5" customFormat="1" ht="17.100000000000001" customHeight="1">
      <c r="A19" s="31"/>
      <c r="B19" s="66" t="s">
        <v>36</v>
      </c>
      <c r="C19" s="67"/>
      <c r="D19" s="67"/>
      <c r="E19" s="67"/>
      <c r="F19" s="67"/>
      <c r="G19" s="67"/>
      <c r="H19" s="67"/>
      <c r="I19" s="68"/>
    </row>
    <row r="20" spans="1:9" s="5" customFormat="1" ht="17.100000000000001" customHeight="1">
      <c r="A20" s="31"/>
      <c r="B20" s="66" t="s">
        <v>22</v>
      </c>
      <c r="C20" s="67"/>
      <c r="D20" s="67"/>
      <c r="E20" s="67"/>
      <c r="F20" s="67"/>
      <c r="G20" s="67"/>
      <c r="H20" s="67"/>
      <c r="I20" s="68"/>
    </row>
    <row r="21" spans="1:9" s="5" customFormat="1" ht="17.100000000000001" customHeight="1">
      <c r="A21" s="31"/>
      <c r="B21" s="69" t="s">
        <v>28</v>
      </c>
      <c r="C21" s="70"/>
      <c r="D21" s="70"/>
      <c r="E21" s="70"/>
      <c r="F21" s="70"/>
      <c r="G21" s="70"/>
      <c r="H21" s="70"/>
      <c r="I21" s="71"/>
    </row>
    <row r="22" spans="1:9" s="5" customFormat="1" ht="17.100000000000001" customHeight="1">
      <c r="A22" s="31"/>
      <c r="B22" s="66" t="s">
        <v>20</v>
      </c>
      <c r="C22" s="67"/>
      <c r="D22" s="67"/>
      <c r="E22" s="67"/>
      <c r="F22" s="67"/>
      <c r="G22" s="67"/>
      <c r="H22" s="67"/>
      <c r="I22" s="68"/>
    </row>
    <row r="23" spans="1:9" s="5" customFormat="1" ht="17.100000000000001" customHeight="1">
      <c r="A23" s="31"/>
      <c r="B23" s="69" t="s">
        <v>21</v>
      </c>
      <c r="C23" s="70"/>
      <c r="D23" s="70"/>
      <c r="E23" s="70"/>
      <c r="F23" s="70"/>
      <c r="G23" s="70"/>
      <c r="H23" s="70"/>
      <c r="I23" s="71"/>
    </row>
    <row r="24" spans="1:9" s="5" customFormat="1" ht="17.100000000000001" customHeight="1">
      <c r="A24" s="31"/>
      <c r="B24" s="69" t="s">
        <v>23</v>
      </c>
      <c r="C24" s="70"/>
      <c r="D24" s="70"/>
      <c r="E24" s="70"/>
      <c r="F24" s="70"/>
      <c r="G24" s="70"/>
      <c r="H24" s="70"/>
      <c r="I24" s="71"/>
    </row>
    <row r="25" spans="1:9" s="5" customFormat="1" ht="17.100000000000001" customHeight="1">
      <c r="A25" s="31"/>
      <c r="B25" s="47" t="s">
        <v>24</v>
      </c>
      <c r="C25" s="48"/>
      <c r="D25" s="48"/>
      <c r="E25" s="48"/>
      <c r="F25" s="48"/>
      <c r="G25" s="48"/>
      <c r="H25" s="48"/>
      <c r="I25" s="49"/>
    </row>
    <row r="26" spans="1:9" s="5" customFormat="1" ht="17.100000000000001" customHeight="1">
      <c r="A26" s="31"/>
      <c r="B26" s="66" t="s">
        <v>25</v>
      </c>
      <c r="C26" s="67"/>
      <c r="D26" s="67"/>
      <c r="E26" s="67"/>
      <c r="F26" s="67"/>
      <c r="G26" s="67"/>
      <c r="H26" s="67"/>
      <c r="I26" s="68"/>
    </row>
    <row r="27" spans="1:9" s="5" customFormat="1" ht="17.100000000000001" customHeight="1">
      <c r="A27" s="31"/>
      <c r="B27" s="66" t="s">
        <v>31</v>
      </c>
      <c r="C27" s="67"/>
      <c r="D27" s="67"/>
      <c r="E27" s="67"/>
      <c r="F27" s="67"/>
      <c r="G27" s="67"/>
      <c r="H27" s="67"/>
      <c r="I27" s="68"/>
    </row>
    <row r="28" spans="1:9" s="5" customFormat="1" ht="17.100000000000001" customHeight="1">
      <c r="A28" s="31"/>
      <c r="B28" s="66" t="s">
        <v>26</v>
      </c>
      <c r="C28" s="67"/>
      <c r="D28" s="67"/>
      <c r="E28" s="67"/>
      <c r="F28" s="67"/>
      <c r="G28" s="67"/>
      <c r="H28" s="67"/>
      <c r="I28" s="68"/>
    </row>
    <row r="29" spans="1:9" s="5" customFormat="1" ht="17.100000000000001" customHeight="1">
      <c r="A29" s="31"/>
      <c r="B29" s="66" t="s">
        <v>27</v>
      </c>
      <c r="C29" s="67"/>
      <c r="D29" s="67"/>
      <c r="E29" s="67"/>
      <c r="F29" s="67"/>
      <c r="G29" s="67"/>
      <c r="H29" s="67"/>
      <c r="I29" s="68"/>
    </row>
    <row r="30" spans="1:9" s="5" customFormat="1" ht="17.100000000000001" customHeight="1">
      <c r="A30" s="32"/>
      <c r="B30" s="60"/>
      <c r="C30" s="61"/>
      <c r="D30" s="61"/>
      <c r="E30" s="61"/>
      <c r="F30" s="61"/>
      <c r="G30" s="61"/>
      <c r="H30" s="61"/>
      <c r="I30" s="62"/>
    </row>
    <row r="31" spans="1:9" s="34" customFormat="1" ht="18.75" customHeight="1">
      <c r="A31" s="33" t="s">
        <v>12</v>
      </c>
      <c r="B31" s="57" t="s">
        <v>37</v>
      </c>
      <c r="C31" s="58"/>
      <c r="D31" s="58"/>
      <c r="E31" s="58"/>
      <c r="F31" s="58"/>
      <c r="G31" s="58"/>
      <c r="H31" s="58"/>
      <c r="I31" s="59"/>
    </row>
    <row r="32" spans="1:9" customFormat="1" ht="15.9" customHeight="1"/>
    <row r="33" s="4" customFormat="1"/>
    <row r="34" s="4" customFormat="1"/>
    <row r="35" s="4" customFormat="1"/>
    <row r="36" s="4" customFormat="1"/>
    <row r="37" s="4" customFormat="1"/>
    <row r="38" s="4" customFormat="1"/>
  </sheetData>
  <mergeCells count="18">
    <mergeCell ref="A2:I2"/>
    <mergeCell ref="B13:D13"/>
    <mergeCell ref="A15:D15"/>
    <mergeCell ref="B14:D14"/>
    <mergeCell ref="A16:D16"/>
    <mergeCell ref="B31:I31"/>
    <mergeCell ref="B30:I30"/>
    <mergeCell ref="B18:I18"/>
    <mergeCell ref="B19:I19"/>
    <mergeCell ref="B29:I29"/>
    <mergeCell ref="B21:I21"/>
    <mergeCell ref="B28:I28"/>
    <mergeCell ref="B22:I22"/>
    <mergeCell ref="B27:I27"/>
    <mergeCell ref="B23:I23"/>
    <mergeCell ref="B24:I24"/>
    <mergeCell ref="B26:I26"/>
    <mergeCell ref="B20:I20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 xr:uid="{00000000-0002-0000-0000-000000000000}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2020-09-16T08:21:47Z</cp:lastPrinted>
  <dcterms:created xsi:type="dcterms:W3CDTF">2001-05-22T00:47:40Z</dcterms:created>
  <dcterms:modified xsi:type="dcterms:W3CDTF">2023-04-03T07:11:29Z</dcterms:modified>
</cp:coreProperties>
</file>