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jyooong\bizwell\03.Technical-Support-Team\C파트\06.국제방송교류재단\견적서\"/>
    </mc:Choice>
  </mc:AlternateContent>
  <bookViews>
    <workbookView xWindow="0" yWindow="0" windowWidth="16908" windowHeight="4140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5" i="2" l="1"/>
  <c r="B10" i="2" l="1"/>
</calcChain>
</file>

<file path=xl/sharedStrings.xml><?xml version="1.0" encoding="utf-8"?>
<sst xmlns="http://schemas.openxmlformats.org/spreadsheetml/2006/main" count="47" uniqueCount="47">
  <si>
    <t>항 목</t>
    <phoneticPr fontId="2" type="noConversion"/>
  </si>
  <si>
    <t>구 분</t>
    <phoneticPr fontId="2" type="noConversion"/>
  </si>
  <si>
    <t>내   용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</si>
  <si>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</si>
  <si>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</si>
  <si>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</si>
  <si>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</si>
  <si>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</si>
  <si>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</si>
  <si>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</si>
  <si>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</si>
  <si>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</si>
  <si>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</si>
  <si>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</si>
  <si>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t xml:space="preserve">견적 금액 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</si>
  <si>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</si>
  <si>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</si>
  <si>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</si>
  <si>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</si>
  <si>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</si>
  <si>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</si>
  <si>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</si>
  <si>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</si>
  <si>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</si>
  <si>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</si>
  <si>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</si>
  <si>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</si>
  <si>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</si>
  <si>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>※ SW노임단가는 2018년 소프트웨어 기술자 노임대가 기준입니다. (제경비 110%, 기술료 30% 산정)</t>
    <phoneticPr fontId="2" type="noConversion"/>
  </si>
  <si>
    <t>견적 일자</t>
    <phoneticPr fontId="2" type="noConversion"/>
  </si>
  <si>
    <t>참조 사항</t>
    <phoneticPr fontId="2" type="noConversion"/>
  </si>
  <si>
    <t xml:space="preserve"> 견적일로부터 2개월</t>
    <phoneticPr fontId="2" type="noConversion"/>
  </si>
  <si>
    <t xml:space="preserve"> 대표이사  신 재 복        (직인생략)</t>
    <phoneticPr fontId="2" type="noConversion"/>
  </si>
  <si>
    <t xml:space="preserve"> 아래와 같이 견적합니다.</t>
    <phoneticPr fontId="2" type="noConversion"/>
  </si>
  <si>
    <t>M/D</t>
    <phoneticPr fontId="2" type="noConversion"/>
  </si>
  <si>
    <t>SW노임단가</t>
    <phoneticPr fontId="2" type="noConversion"/>
  </si>
  <si>
    <t xml:space="preserve"> 고객영업팀  김형준 이사  (kimhj@bizwell.net)  /  070-4616-5049  /  010-6565-9047</t>
    <phoneticPr fontId="2" type="noConversion"/>
  </si>
  <si>
    <t>견적 금액  합계</t>
    <phoneticPr fontId="2" type="noConversion"/>
  </si>
  <si>
    <t xml:space="preserve"> 2025-국제방송교류재단-D01</t>
    <phoneticPr fontId="2" type="noConversion"/>
  </si>
  <si>
    <t xml:space="preserve"> 국제방송교류재단</t>
    <phoneticPr fontId="2" type="noConversion"/>
  </si>
  <si>
    <t xml:space="preserve"> 2025.07.09</t>
    <phoneticPr fontId="2" type="noConversion"/>
  </si>
  <si>
    <t>5MD</t>
    <phoneticPr fontId="2" type="noConversion"/>
  </si>
  <si>
    <t>서버이전</t>
    <phoneticPr fontId="2" type="noConversion"/>
  </si>
  <si>
    <t xml:space="preserve"> 신규 서버이전</t>
    <phoneticPr fontId="2" type="noConversion"/>
  </si>
  <si>
    <t>신규서버이전</t>
    <phoneticPr fontId="2" type="noConversion"/>
  </si>
  <si>
    <t xml:space="preserve"> * CentOS의 EOS에 따라 Red Hat Enterprise Linux(RHEL_ RHEL 10.0 6.12.0-55.9.1.el10_0) 변경</t>
    <phoneticPr fontId="2" type="noConversion"/>
  </si>
  <si>
    <t xml:space="preserve"> 신규 서버이전
- 그룹웨어 운영서버 1,2 / 메신저 서버1,2
- 신규서버 세팅(WAS, JDK 등)
- 버전 및 서버 변경에 따른 설정 변경
(경로 및 ip 등)
- 테스트 및 장애대응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</si>
</sst>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b/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7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2" xfId="2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12" fillId="0" borderId="7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  <xf numFmtId="41" fontId="16" fillId="5" borderId="15" xfId="1" applyFont="1" applyFill="1" applyBorder="1" applyAlignment="1">
      <alignment horizontal="center" vertical="center"/>
    </xf>
    <xf numFmtId="41" fontId="16" fillId="5" borderId="15" xfId="2" applyNumberFormat="1" applyFont="1" applyFill="1" applyBorder="1" applyAlignment="1">
      <alignment horizontal="center" vertical="center"/>
    </xf>
    <xf numFmtId="0" fontId="15" fillId="4" borderId="16" xfId="2" applyFont="1" applyFill="1" applyBorder="1" applyAlignment="1">
      <alignment horizontal="center" vertical="center"/>
    </xf>
    <xf numFmtId="41" fontId="15" fillId="4" borderId="16" xfId="1" applyNumberFormat="1" applyFont="1" applyFill="1" applyBorder="1" applyAlignment="1">
      <alignment horizontal="center" vertical="center"/>
    </xf>
    <xf numFmtId="0" fontId="15" fillId="0" borderId="16" xfId="2" applyFont="1" applyFill="1" applyBorder="1" applyAlignment="1">
      <alignment horizontal="center" vertical="center"/>
    </xf>
    <xf numFmtId="176" fontId="15" fillId="0" borderId="16" xfId="1" applyNumberFormat="1" applyFont="1" applyBorder="1" applyAlignment="1">
      <alignment horizontal="center" vertical="center"/>
    </xf>
    <xf numFmtId="41" fontId="15" fillId="0" borderId="16" xfId="1" applyFont="1" applyFill="1" applyBorder="1" applyAlignment="1">
      <alignment horizontal="center" vertical="center"/>
    </xf>
    <xf numFmtId="41" fontId="15" fillId="2" borderId="16" xfId="1" applyFont="1" applyFill="1" applyBorder="1" applyAlignment="1">
      <alignment horizontal="center" vertical="center"/>
    </xf>
    <xf numFmtId="9" fontId="15" fillId="0" borderId="16" xfId="0" quotePrefix="1" applyNumberFormat="1" applyFont="1" applyBorder="1" applyAlignment="1">
      <alignment horizontal="left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2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16" xfId="2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5" fillId="0" borderId="16" xfId="2" quotePrefix="1" applyFont="1" applyFill="1" applyBorder="1" applyAlignment="1">
      <alignment horizontal="left" vertical="center" wrapText="1"/>
    </xf>
    <xf numFmtId="0" fontId="15" fillId="0" borderId="16" xfId="2" applyFont="1" applyFill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9" fillId="0" borderId="0" xfId="0" applyFont="1" applyBorder="1"/>
    <xf numFmtId="0" fontId="19" fillId="0" borderId="11" xfId="0" applyFont="1" applyBorder="1"/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tabSelected="1" topLeftCell="A11" zoomScaleNormal="100" workbookViewId="0">
      <selection activeCell="I14" sqref="I14"/>
    </sheetView>
  </sheetViews>
  <sheetFormatPr defaultColWidth="8.8984375" defaultRowHeight="14.4" x14ac:dyDescent="0.25"/>
  <cols>
    <col min="1" max="1" width="11.296875" style="1" customWidth="1"/>
    <col min="2" max="2" width="11.09765625" style="1" customWidth="1"/>
    <col min="3" max="4" width="14.19921875" style="1" customWidth="1"/>
    <col min="5" max="5" width="5.3984375" style="1" customWidth="1"/>
    <col min="6" max="6" width="9.3984375" style="1" customWidth="1"/>
    <col min="7" max="7" width="9.3984375" style="1" bestFit="1" customWidth="1"/>
    <col min="8" max="8" width="10.69921875" style="1" bestFit="1" customWidth="1"/>
    <col min="9" max="9" width="25.3984375" style="1" customWidth="1"/>
    <col min="10" max="10" width="10.69921875" style="1" bestFit="1" customWidth="1"/>
    <col min="11" max="16384" width="8.8984375" style="1"/>
  </cols>
  <sheetData>
    <row r="1" spans="1:10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0" s="4" customFormat="1" ht="29.25" customHeight="1" x14ac:dyDescent="0.25">
      <c r="A2" s="62" t="s">
        <v>13</v>
      </c>
      <c r="B2" s="62"/>
      <c r="C2" s="62"/>
      <c r="D2" s="62"/>
      <c r="E2" s="62"/>
      <c r="F2" s="62"/>
      <c r="G2" s="62"/>
      <c r="H2" s="62"/>
      <c r="I2" s="62"/>
    </row>
    <row r="3" spans="1:10" s="4" customFormat="1" ht="16.5" customHeight="1" x14ac:dyDescent="0.25">
      <c r="A3" s="8"/>
      <c r="B3" s="9"/>
      <c r="C3" s="9"/>
      <c r="D3" s="9"/>
      <c r="E3" s="10"/>
      <c r="F3" s="10"/>
      <c r="G3" s="10"/>
      <c r="H3" s="10"/>
      <c r="I3" s="10"/>
    </row>
    <row r="4" spans="1:10" s="5" customFormat="1" ht="20.100000000000001" customHeight="1" x14ac:dyDescent="0.25">
      <c r="A4" s="21" t="s">
        <v>6</v>
      </c>
      <c r="B4" s="23" t="s">
        <v>38</v>
      </c>
      <c r="C4" s="22"/>
      <c r="D4" s="26"/>
      <c r="E4" s="32" t="s">
        <v>5</v>
      </c>
      <c r="F4" s="33"/>
      <c r="G4" s="33"/>
      <c r="H4" s="33"/>
      <c r="I4" s="34"/>
    </row>
    <row r="5" spans="1:10" s="5" customFormat="1" ht="20.100000000000001" customHeight="1" x14ac:dyDescent="0.25">
      <c r="A5" s="21" t="s">
        <v>7</v>
      </c>
      <c r="B5" s="23" t="s">
        <v>39</v>
      </c>
      <c r="C5" s="22"/>
      <c r="D5" s="26"/>
      <c r="E5" s="35" t="s">
        <v>32</v>
      </c>
      <c r="F5" s="27"/>
      <c r="G5" s="27"/>
      <c r="H5" s="27"/>
      <c r="I5" s="36"/>
    </row>
    <row r="6" spans="1:10" s="5" customFormat="1" ht="20.100000000000001" customHeight="1" x14ac:dyDescent="0.25">
      <c r="A6" s="21" t="s">
        <v>29</v>
      </c>
      <c r="B6" s="23" t="s">
        <v>40</v>
      </c>
      <c r="C6" s="22"/>
      <c r="D6" s="26"/>
      <c r="E6" s="35" t="s">
        <v>16</v>
      </c>
      <c r="F6" s="27"/>
      <c r="G6" s="27"/>
      <c r="H6" s="27"/>
      <c r="I6" s="36"/>
    </row>
    <row r="7" spans="1:10" s="5" customFormat="1" ht="20.100000000000001" customHeight="1" x14ac:dyDescent="0.25">
      <c r="A7" s="21" t="s">
        <v>8</v>
      </c>
      <c r="B7" s="23" t="s">
        <v>31</v>
      </c>
      <c r="C7" s="22"/>
      <c r="D7" s="26"/>
      <c r="E7" s="37" t="s">
        <v>12</v>
      </c>
      <c r="F7" s="38"/>
      <c r="G7" s="38"/>
      <c r="H7" s="38"/>
      <c r="I7" s="39"/>
    </row>
    <row r="8" spans="1:10" s="5" customFormat="1" ht="13.5" customHeight="1" x14ac:dyDescent="0.25">
      <c r="A8" s="13"/>
      <c r="B8" s="14"/>
      <c r="C8" s="15"/>
      <c r="D8" s="15"/>
      <c r="E8" s="13"/>
      <c r="F8" s="13"/>
      <c r="G8" s="13"/>
      <c r="H8" s="12"/>
      <c r="I8" s="12"/>
    </row>
    <row r="9" spans="1:10" s="5" customFormat="1" ht="20.100000000000001" customHeight="1" x14ac:dyDescent="0.25">
      <c r="A9" s="24" t="s">
        <v>10</v>
      </c>
      <c r="B9" s="16" t="s">
        <v>43</v>
      </c>
      <c r="C9" s="17"/>
      <c r="D9" s="17"/>
      <c r="E9" s="17"/>
      <c r="F9" s="17"/>
      <c r="G9" s="17"/>
      <c r="H9" s="17"/>
      <c r="I9" s="18"/>
    </row>
    <row r="10" spans="1:10" s="5" customFormat="1" ht="20.100000000000001" customHeight="1" x14ac:dyDescent="0.25">
      <c r="A10" s="25" t="s">
        <v>14</v>
      </c>
      <c r="B10" s="16" t="str">
        <f>TEXT(H15," 일금[DBNum4][$-412]G/표준원정") &amp; " (" &amp; DOLLAR(H15) &amp; " 부가세별도)"</f>
        <v xml:space="preserve"> 일금이백오십만원정 (₩2,500,000 부가세별도)</v>
      </c>
      <c r="C10" s="17"/>
      <c r="D10" s="17"/>
      <c r="E10" s="17"/>
      <c r="F10" s="17"/>
      <c r="G10" s="17"/>
      <c r="H10" s="17"/>
      <c r="I10" s="18"/>
    </row>
    <row r="11" spans="1:10" s="6" customFormat="1" ht="14.25" customHeight="1" x14ac:dyDescent="0.35">
      <c r="A11" s="28"/>
      <c r="B11" s="15"/>
      <c r="C11" s="15"/>
      <c r="D11" s="15"/>
      <c r="E11" s="11"/>
      <c r="F11" s="11"/>
      <c r="G11" s="11"/>
      <c r="H11" s="19"/>
      <c r="I11" s="20"/>
    </row>
    <row r="12" spans="1:10" s="6" customFormat="1" ht="20.25" customHeight="1" x14ac:dyDescent="0.35">
      <c r="A12" s="28" t="s">
        <v>33</v>
      </c>
      <c r="B12" s="15"/>
      <c r="C12" s="15"/>
      <c r="D12" s="15"/>
      <c r="E12" s="11"/>
      <c r="F12" s="11"/>
      <c r="G12" s="11"/>
      <c r="H12" s="19"/>
      <c r="I12" s="20" t="s">
        <v>9</v>
      </c>
    </row>
    <row r="13" spans="1:10" s="7" customFormat="1" ht="20.100000000000001" customHeight="1" x14ac:dyDescent="0.25">
      <c r="A13" s="45" t="s">
        <v>0</v>
      </c>
      <c r="B13" s="45" t="s">
        <v>1</v>
      </c>
      <c r="C13" s="63" t="s">
        <v>2</v>
      </c>
      <c r="D13" s="63"/>
      <c r="E13" s="46" t="s">
        <v>34</v>
      </c>
      <c r="F13" s="46" t="s">
        <v>35</v>
      </c>
      <c r="G13" s="46" t="s">
        <v>3</v>
      </c>
      <c r="H13" s="46" t="s">
        <v>4</v>
      </c>
      <c r="I13" s="46" t="s">
        <v>11</v>
      </c>
    </row>
    <row r="14" spans="1:10" s="7" customFormat="1" ht="76.2" customHeight="1" x14ac:dyDescent="0.25">
      <c r="A14" s="52" t="s">
        <v>42</v>
      </c>
      <c r="B14" s="47" t="s">
        <v>44</v>
      </c>
      <c r="C14" s="70" t="s">
        <v>46</v>
      </c>
      <c r="D14" s="71"/>
      <c r="E14" s="48" t="s">
        <v>41</v>
      </c>
      <c r="F14" s="49">
        <v>604342.82999999996</v>
      </c>
      <c r="G14" s="49">
        <v>2500000</v>
      </c>
      <c r="H14" s="50">
        <v>2500000</v>
      </c>
      <c r="I14" s="51" t="s">
        <v>45</v>
      </c>
    </row>
    <row r="15" spans="1:10" s="7" customFormat="1" ht="20.100000000000001" customHeight="1" x14ac:dyDescent="0.25">
      <c r="A15" s="67" t="s">
        <v>37</v>
      </c>
      <c r="B15" s="68"/>
      <c r="C15" s="68"/>
      <c r="D15" s="69"/>
      <c r="E15" s="43"/>
      <c r="F15" s="44"/>
      <c r="G15" s="44"/>
      <c r="H15" s="44">
        <f>SUM(H14:H14)</f>
        <v>2500000</v>
      </c>
      <c r="I15" s="43"/>
      <c r="J15" s="31"/>
    </row>
    <row r="16" spans="1:10" s="5" customFormat="1" ht="17.100000000000001" customHeight="1" x14ac:dyDescent="0.25">
      <c r="A16" s="72" t="s">
        <v>30</v>
      </c>
      <c r="B16" s="64" t="s">
        <v>28</v>
      </c>
      <c r="C16" s="65"/>
      <c r="D16" s="65"/>
      <c r="E16" s="65"/>
      <c r="F16" s="65"/>
      <c r="G16" s="65"/>
      <c r="H16" s="65"/>
      <c r="I16" s="66"/>
    </row>
    <row r="17" spans="1:9" s="5" customFormat="1" ht="17.100000000000001" customHeight="1" x14ac:dyDescent="0.25">
      <c r="A17" s="73"/>
      <c r="B17" s="56" t="s">
        <v>17</v>
      </c>
      <c r="C17" s="57"/>
      <c r="D17" s="57"/>
      <c r="E17" s="57"/>
      <c r="F17" s="57"/>
      <c r="G17" s="57"/>
      <c r="H17" s="57"/>
      <c r="I17" s="58"/>
    </row>
    <row r="18" spans="1:9" s="5" customFormat="1" ht="17.100000000000001" customHeight="1" x14ac:dyDescent="0.25">
      <c r="A18" s="73"/>
      <c r="B18" s="56" t="s">
        <v>18</v>
      </c>
      <c r="C18" s="57"/>
      <c r="D18" s="57"/>
      <c r="E18" s="57"/>
      <c r="F18" s="57"/>
      <c r="G18" s="57"/>
      <c r="H18" s="57"/>
      <c r="I18" s="58"/>
    </row>
    <row r="19" spans="1:9" s="5" customFormat="1" ht="17.100000000000001" customHeight="1" x14ac:dyDescent="0.25">
      <c r="A19" s="73"/>
      <c r="B19" s="75" t="s">
        <v>19</v>
      </c>
      <c r="C19" s="76"/>
      <c r="D19" s="76"/>
      <c r="E19" s="76"/>
      <c r="F19" s="76"/>
      <c r="G19" s="76"/>
      <c r="H19" s="76"/>
      <c r="I19" s="77"/>
    </row>
    <row r="20" spans="1:9" s="5" customFormat="1" ht="17.100000000000001" customHeight="1" x14ac:dyDescent="0.25">
      <c r="A20" s="73"/>
      <c r="B20" s="56" t="s">
        <v>20</v>
      </c>
      <c r="C20" s="57"/>
      <c r="D20" s="57"/>
      <c r="E20" s="57"/>
      <c r="F20" s="57"/>
      <c r="G20" s="57"/>
      <c r="H20" s="57"/>
      <c r="I20" s="58"/>
    </row>
    <row r="21" spans="1:9" s="5" customFormat="1" ht="17.100000000000001" customHeight="1" x14ac:dyDescent="0.25">
      <c r="A21" s="73"/>
      <c r="B21" s="75" t="s">
        <v>21</v>
      </c>
      <c r="C21" s="76"/>
      <c r="D21" s="76"/>
      <c r="E21" s="76"/>
      <c r="F21" s="76"/>
      <c r="G21" s="76"/>
      <c r="H21" s="76"/>
      <c r="I21" s="77"/>
    </row>
    <row r="22" spans="1:9" s="5" customFormat="1" ht="17.100000000000001" customHeight="1" x14ac:dyDescent="0.25">
      <c r="A22" s="73"/>
      <c r="B22" s="75" t="s">
        <v>22</v>
      </c>
      <c r="C22" s="76"/>
      <c r="D22" s="76"/>
      <c r="E22" s="76"/>
      <c r="F22" s="76"/>
      <c r="G22" s="76"/>
      <c r="H22" s="76"/>
      <c r="I22" s="77"/>
    </row>
    <row r="23" spans="1:9" s="5" customFormat="1" ht="17.100000000000001" customHeight="1" x14ac:dyDescent="0.25">
      <c r="A23" s="73"/>
      <c r="B23" s="40" t="s">
        <v>23</v>
      </c>
      <c r="C23" s="41"/>
      <c r="D23" s="41"/>
      <c r="E23" s="41"/>
      <c r="F23" s="41"/>
      <c r="G23" s="41"/>
      <c r="H23" s="41"/>
      <c r="I23" s="42"/>
    </row>
    <row r="24" spans="1:9" s="5" customFormat="1" ht="17.100000000000001" customHeight="1" x14ac:dyDescent="0.25">
      <c r="A24" s="73"/>
      <c r="B24" s="56" t="s">
        <v>24</v>
      </c>
      <c r="C24" s="57"/>
      <c r="D24" s="57"/>
      <c r="E24" s="57"/>
      <c r="F24" s="57"/>
      <c r="G24" s="57"/>
      <c r="H24" s="57"/>
      <c r="I24" s="58"/>
    </row>
    <row r="25" spans="1:9" s="5" customFormat="1" ht="17.100000000000001" customHeight="1" x14ac:dyDescent="0.25">
      <c r="A25" s="73"/>
      <c r="B25" s="56" t="s">
        <v>25</v>
      </c>
      <c r="C25" s="57"/>
      <c r="D25" s="57"/>
      <c r="E25" s="57"/>
      <c r="F25" s="57"/>
      <c r="G25" s="57"/>
      <c r="H25" s="57"/>
      <c r="I25" s="58"/>
    </row>
    <row r="26" spans="1:9" s="5" customFormat="1" ht="17.100000000000001" customHeight="1" x14ac:dyDescent="0.25">
      <c r="A26" s="73"/>
      <c r="B26" s="56" t="s">
        <v>26</v>
      </c>
      <c r="C26" s="57"/>
      <c r="D26" s="57"/>
      <c r="E26" s="57"/>
      <c r="F26" s="57"/>
      <c r="G26" s="57"/>
      <c r="H26" s="57"/>
      <c r="I26" s="58"/>
    </row>
    <row r="27" spans="1:9" s="5" customFormat="1" ht="17.100000000000001" customHeight="1" x14ac:dyDescent="0.25">
      <c r="A27" s="73"/>
      <c r="B27" s="56" t="s">
        <v>27</v>
      </c>
      <c r="C27" s="57"/>
      <c r="D27" s="57"/>
      <c r="E27" s="57"/>
      <c r="F27" s="57"/>
      <c r="G27" s="57"/>
      <c r="H27" s="57"/>
      <c r="I27" s="58"/>
    </row>
    <row r="28" spans="1:9" s="5" customFormat="1" ht="17.100000000000001" customHeight="1" x14ac:dyDescent="0.25">
      <c r="A28" s="74"/>
      <c r="B28" s="59"/>
      <c r="C28" s="60"/>
      <c r="D28" s="60"/>
      <c r="E28" s="60"/>
      <c r="F28" s="60"/>
      <c r="G28" s="60"/>
      <c r="H28" s="60"/>
      <c r="I28" s="61"/>
    </row>
    <row r="29" spans="1:9" s="30" customFormat="1" ht="22.2" customHeight="1" x14ac:dyDescent="0.25">
      <c r="A29" s="29" t="s">
        <v>15</v>
      </c>
      <c r="B29" s="53" t="s">
        <v>36</v>
      </c>
      <c r="C29" s="54"/>
      <c r="D29" s="54"/>
      <c r="E29" s="54"/>
      <c r="F29" s="54"/>
      <c r="G29" s="54"/>
      <c r="H29" s="54"/>
      <c r="I29" s="55"/>
    </row>
  </sheetData>
  <mergeCells count="18">
    <mergeCell ref="A2:I2"/>
    <mergeCell ref="C13:D13"/>
    <mergeCell ref="B17:I17"/>
    <mergeCell ref="B16:I16"/>
    <mergeCell ref="A15:D15"/>
    <mergeCell ref="C14:D14"/>
    <mergeCell ref="A16:A28"/>
    <mergeCell ref="B18:I18"/>
    <mergeCell ref="B19:I19"/>
    <mergeCell ref="B20:I20"/>
    <mergeCell ref="B21:I21"/>
    <mergeCell ref="B22:I22"/>
    <mergeCell ref="B29:I29"/>
    <mergeCell ref="B24:I24"/>
    <mergeCell ref="B25:I25"/>
    <mergeCell ref="B26:I26"/>
    <mergeCell ref="B27:I27"/>
    <mergeCell ref="B28:I28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67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jyooong</cp:lastModifiedBy>
  <cp:lastPrinted>2025-04-28T02:21:10Z</cp:lastPrinted>
  <dcterms:created xsi:type="dcterms:W3CDTF">2001-05-22T00:47:40Z</dcterms:created>
  <dcterms:modified xsi:type="dcterms:W3CDTF">2025-07-09T01:35:34Z</dcterms:modified>
</cp:coreProperties>
</file>