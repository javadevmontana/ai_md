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2A10BB86-FEC0-47DA-A959-AF8A3DCC43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 s="1"/>
  <c r="E14" i="3" l="1"/>
  <c r="E16" i="3" s="1"/>
  <c r="H16" i="3" l="1"/>
  <c r="B9" i="3" s="1"/>
</calcChain>
</file>

<file path=xl/sharedStrings.xml><?xml version="1.0" encoding="utf-8"?>
<sst xmlns="http://schemas.openxmlformats.org/spreadsheetml/2006/main" count="46" uniqueCount="46">
  <si>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</si>
  <si>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</si>
  <si>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</si>
  <si>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</si>
  <si>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</si>
  <si>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</si>
  <si>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</si>
  <si>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</si>
  <si>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</si>
  <si>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</si>
  <si>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</si>
  <si>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</si>
  <si>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전제 조건
및
고려사항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</si>
  <si>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</si>
  <si>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</si>
  <si>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</si>
  <si>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</si>
  <si>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</si>
  <si>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</si>
  <si>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</si>
  <si>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</si>
  <si>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</si>
  <si>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</si>
  <si>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</si>
  <si>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</si>
  <si>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</si>
  <si>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</si>
  <si>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</si>
  <si>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</si>
  <si>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</si>
  <si>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</si>
  <si>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</si>
  <si>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</si>
  <si>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</si>
  <si>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</si>
  <si>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</si>
  <si>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</si>
  <si>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</si>
  <si>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</si>
  <si>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</si>
  <si>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2025-김포골드라인-D03</t>
    <phoneticPr fontId="9" type="noConversion"/>
  </si>
  <si>
    <t xml:space="preserve"> 2025.08.28</t>
    <phoneticPr fontId="9" type="noConversion"/>
  </si>
  <si>
    <t xml:space="preserve"> 서버 이관 건</t>
    <phoneticPr fontId="9" type="noConversion"/>
  </si>
  <si>
    <t xml:space="preserve"> 김포골드라인</t>
    <phoneticPr fontId="9" type="noConversion"/>
  </si>
  <si>
    <t xml:space="preserve"> 서버 이관 건 
 (OS 변경, JDK 변경, 전수 기능 테스트)</t>
    <phoneticPr fontId="34" type="noConversion"/>
  </si>
  <si>
    <r>
      <rPr>
        <b/>
        <sz val="9"/>
        <rFont val="맑은 고딕"/>
        <family val="3"/>
        <charset val="129"/>
        <scheme val="minor"/>
      </rPr>
      <t>[변경사항]</t>
    </r>
    <r>
      <rPr>
        <sz val="9"/>
        <rFont val="맑은 고딕"/>
        <family val="3"/>
        <charset val="129"/>
        <scheme val="minor"/>
      </rPr>
      <t xml:space="preserve">
1. H/W
2. OS : HP-UX B.11.31 &gt; Linux Rocky 8.9(미정)
3. JAVA : 1.7 &gt; 11 (미정)
4. was 변경 : 제우스 &gt; 제우스 최신 버전(미정)
</t>
    </r>
    <r>
      <rPr>
        <b/>
        <sz val="9"/>
        <rFont val="맑은 고딕"/>
        <family val="3"/>
        <charset val="129"/>
        <scheme val="minor"/>
      </rPr>
      <t>[고객사 작업사항]</t>
    </r>
    <r>
      <rPr>
        <sz val="9"/>
        <rFont val="맑은 고딕"/>
        <family val="3"/>
        <charset val="129"/>
        <scheme val="minor"/>
      </rPr>
      <t xml:space="preserve">
1. 개발서버 OS 세팅 및 환경 구성
2. TO-BE 서버 OS, JDK, WAS 구성
3. GW소스 및 repository 이관
</t>
    </r>
    <r>
      <rPr>
        <b/>
        <sz val="9"/>
        <rFont val="맑은 고딕"/>
        <family val="3"/>
        <charset val="129"/>
        <scheme val="minor"/>
      </rPr>
      <t xml:space="preserve">
[비즈웰 작업사항]
</t>
    </r>
    <r>
      <rPr>
        <sz val="9"/>
        <rFont val="맑은 고딕"/>
        <family val="3"/>
        <charset val="129"/>
        <scheme val="minor"/>
      </rPr>
      <t xml:space="preserve">1. 개발서버 테스트 진행
2. 서버 변경 관련 그룹웨어 환경설정
3. 서버 변경 후 전수 기능 테스트
</t>
    </r>
    <r>
      <rPr>
        <b/>
        <sz val="9"/>
        <rFont val="맑은 고딕"/>
        <family val="3"/>
        <charset val="129"/>
        <scheme val="minor"/>
      </rPr>
      <t xml:space="preserve">[퀄리티아 측 작업사항]
</t>
    </r>
    <r>
      <rPr>
        <sz val="9"/>
        <rFont val="맑은 고딕"/>
        <family val="3"/>
        <charset val="129"/>
        <scheme val="minor"/>
      </rPr>
      <t>1. 메일 서버 이관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</si>
</sst>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3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2" fillId="0" borderId="14" xfId="0" quotePrefix="1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topLeftCell="A11" zoomScale="110" zoomScaleNormal="110" workbookViewId="0">
      <selection activeCell="I13" sqref="I13"/>
    </sheetView>
  </sheetViews>
  <sheetFormatPr defaultColWidth="8.8984375" defaultRowHeight="14.4"/>
  <cols>
    <col min="1" max="1" width="10.69921875" style="1" customWidth="1"/>
    <col min="2" max="2" width="10.59765625" style="1" customWidth="1"/>
    <col min="3" max="3" width="22.19921875" style="1" customWidth="1"/>
    <col min="4" max="4" width="0.39843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33.699218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>
      <c r="A1" s="68" t="s">
        <v>34</v>
      </c>
      <c r="B1" s="68"/>
      <c r="C1" s="68"/>
      <c r="D1" s="68"/>
      <c r="E1" s="68"/>
      <c r="F1" s="68"/>
      <c r="G1" s="68"/>
      <c r="H1" s="68"/>
      <c r="I1" s="68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33</v>
      </c>
      <c r="B3" s="21" t="s">
        <v>40</v>
      </c>
      <c r="C3" s="20"/>
      <c r="D3" s="26"/>
      <c r="E3" s="32" t="s">
        <v>32</v>
      </c>
      <c r="F3" s="33"/>
      <c r="G3" s="33"/>
      <c r="H3" s="33"/>
      <c r="I3" s="34"/>
    </row>
    <row r="4" spans="1:10" s="3" customFormat="1" ht="20.100000000000001" customHeight="1">
      <c r="A4" s="19" t="s">
        <v>31</v>
      </c>
      <c r="B4" s="21" t="s">
        <v>43</v>
      </c>
      <c r="C4" s="20"/>
      <c r="D4" s="26"/>
      <c r="E4" s="35" t="s">
        <v>30</v>
      </c>
      <c r="F4" s="10"/>
      <c r="G4" s="10"/>
      <c r="H4" s="10"/>
      <c r="I4" s="36"/>
    </row>
    <row r="5" spans="1:10" s="3" customFormat="1" ht="20.100000000000001" customHeight="1">
      <c r="A5" s="19" t="s">
        <v>29</v>
      </c>
      <c r="B5" s="21" t="s">
        <v>41</v>
      </c>
      <c r="C5" s="20"/>
      <c r="D5" s="26"/>
      <c r="E5" s="39" t="s">
        <v>28</v>
      </c>
      <c r="F5" s="10"/>
      <c r="G5" s="10"/>
      <c r="H5" s="10"/>
      <c r="I5" s="36"/>
    </row>
    <row r="6" spans="1:10" s="3" customFormat="1" ht="20.100000000000001" customHeight="1">
      <c r="A6" s="19" t="s">
        <v>27</v>
      </c>
      <c r="B6" s="21" t="s">
        <v>38</v>
      </c>
      <c r="C6" s="20"/>
      <c r="D6" s="26"/>
      <c r="E6" s="40" t="s">
        <v>26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25</v>
      </c>
      <c r="B8" s="14" t="s">
        <v>42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24</v>
      </c>
      <c r="B9" s="14" t="str">
        <f>TEXT(H16," 일금[DBNum4][$-412]G/표준원정") &amp; " (" &amp; DOLLAR(H16) &amp; " 부가세별도)"</f>
        <v xml:space="preserve"> 일금일천오백만원정 (₩15,000,000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23</v>
      </c>
      <c r="B11" s="13"/>
      <c r="C11" s="13"/>
      <c r="D11" s="13"/>
      <c r="E11" s="9"/>
      <c r="F11" s="9"/>
      <c r="G11" s="9"/>
      <c r="H11" s="17"/>
      <c r="I11" s="18" t="s">
        <v>22</v>
      </c>
    </row>
    <row r="12" spans="1:10" s="5" customFormat="1" ht="27.75" customHeight="1">
      <c r="A12" s="24" t="s">
        <v>21</v>
      </c>
      <c r="B12" s="69" t="s">
        <v>20</v>
      </c>
      <c r="C12" s="70"/>
      <c r="D12" s="71"/>
      <c r="E12" s="25" t="s">
        <v>19</v>
      </c>
      <c r="F12" s="25" t="s">
        <v>18</v>
      </c>
      <c r="G12" s="25" t="s">
        <v>17</v>
      </c>
      <c r="H12" s="25" t="s">
        <v>16</v>
      </c>
      <c r="I12" s="25" t="s">
        <v>15</v>
      </c>
      <c r="J12" s="44"/>
    </row>
    <row r="13" spans="1:10" s="5" customFormat="1" ht="276" customHeight="1">
      <c r="A13" s="56" t="s">
        <v>35</v>
      </c>
      <c r="B13" s="72" t="s">
        <v>44</v>
      </c>
      <c r="C13" s="73"/>
      <c r="D13" s="73"/>
      <c r="E13" s="56">
        <v>30</v>
      </c>
      <c r="F13" s="57">
        <v>604342.82999999996</v>
      </c>
      <c r="G13" s="57">
        <v>500000</v>
      </c>
      <c r="H13" s="57">
        <f>SUM(E13:E13)*G13</f>
        <v>15000000</v>
      </c>
      <c r="I13" s="58" t="s">
        <v>45</v>
      </c>
      <c r="J13" s="31"/>
    </row>
    <row r="14" spans="1:10" s="5" customFormat="1" ht="24.75" customHeight="1">
      <c r="A14" s="78" t="s">
        <v>14</v>
      </c>
      <c r="B14" s="79"/>
      <c r="C14" s="79"/>
      <c r="D14" s="80"/>
      <c r="E14" s="53">
        <f>SUM(E13:E13)</f>
        <v>30</v>
      </c>
      <c r="F14" s="54"/>
      <c r="G14" s="54"/>
      <c r="H14" s="54">
        <f>SUM(H12:H13)</f>
        <v>15000000</v>
      </c>
      <c r="I14" s="55"/>
      <c r="J14" s="31"/>
    </row>
    <row r="15" spans="1:10" s="5" customFormat="1" ht="24.75" hidden="1" customHeight="1">
      <c r="A15" s="81" t="s">
        <v>36</v>
      </c>
      <c r="B15" s="82"/>
      <c r="C15" s="82"/>
      <c r="D15" s="83"/>
      <c r="E15" s="50"/>
      <c r="F15" s="51"/>
      <c r="G15" s="51"/>
      <c r="H15" s="51"/>
      <c r="I15" s="52"/>
      <c r="J15" s="31"/>
    </row>
    <row r="16" spans="1:10" s="5" customFormat="1" ht="24.75" customHeight="1">
      <c r="A16" s="84" t="s">
        <v>13</v>
      </c>
      <c r="B16" s="85"/>
      <c r="C16" s="85"/>
      <c r="D16" s="86"/>
      <c r="E16" s="43">
        <f>E14</f>
        <v>30</v>
      </c>
      <c r="F16" s="41"/>
      <c r="G16" s="41"/>
      <c r="H16" s="41">
        <f>H14+H15</f>
        <v>15000000</v>
      </c>
      <c r="I16" s="42"/>
      <c r="J16" s="31"/>
    </row>
    <row r="17" spans="1:10" s="4" customFormat="1" ht="14.25" customHeight="1">
      <c r="A17" s="27"/>
      <c r="B17" s="13"/>
      <c r="C17" s="13"/>
      <c r="D17" s="13"/>
      <c r="E17" s="9"/>
      <c r="F17" s="9"/>
      <c r="G17" s="9"/>
      <c r="H17" s="17"/>
      <c r="I17" s="18"/>
    </row>
    <row r="18" spans="1:10" s="3" customFormat="1" ht="64.5" customHeight="1">
      <c r="A18" s="46" t="s">
        <v>12</v>
      </c>
      <c r="B18" s="59" t="s">
        <v>37</v>
      </c>
      <c r="C18" s="60"/>
      <c r="D18" s="60"/>
      <c r="E18" s="60"/>
      <c r="F18" s="60"/>
      <c r="G18" s="60"/>
      <c r="H18" s="60"/>
      <c r="I18" s="61"/>
      <c r="J18" s="45"/>
    </row>
    <row r="19" spans="1:10" s="3" customFormat="1" ht="17.100000000000001" customHeight="1">
      <c r="A19" s="28"/>
      <c r="B19" s="77" t="s">
        <v>39</v>
      </c>
      <c r="C19" s="60"/>
      <c r="D19" s="60"/>
      <c r="E19" s="60"/>
      <c r="F19" s="60"/>
      <c r="G19" s="60"/>
      <c r="H19" s="60"/>
      <c r="I19" s="61"/>
    </row>
    <row r="20" spans="1:10" s="3" customFormat="1" ht="17.100000000000001" customHeight="1">
      <c r="A20" s="29" t="s">
        <v>11</v>
      </c>
      <c r="B20" s="62" t="s">
        <v>10</v>
      </c>
      <c r="C20" s="63"/>
      <c r="D20" s="63"/>
      <c r="E20" s="63"/>
      <c r="F20" s="63"/>
      <c r="G20" s="63"/>
      <c r="H20" s="63"/>
      <c r="I20" s="64"/>
    </row>
    <row r="21" spans="1:10" s="3" customFormat="1" ht="17.100000000000001" customHeight="1">
      <c r="A21" s="29"/>
      <c r="B21" s="62" t="s">
        <v>9</v>
      </c>
      <c r="C21" s="63"/>
      <c r="D21" s="63"/>
      <c r="E21" s="63"/>
      <c r="F21" s="63"/>
      <c r="G21" s="63"/>
      <c r="H21" s="63"/>
      <c r="I21" s="64"/>
    </row>
    <row r="22" spans="1:10" s="3" customFormat="1" ht="17.100000000000001" customHeight="1">
      <c r="A22" s="29"/>
      <c r="B22" s="65" t="s">
        <v>8</v>
      </c>
      <c r="C22" s="66"/>
      <c r="D22" s="66"/>
      <c r="E22" s="66"/>
      <c r="F22" s="66"/>
      <c r="G22" s="66"/>
      <c r="H22" s="66"/>
      <c r="I22" s="67"/>
    </row>
    <row r="23" spans="1:10" s="3" customFormat="1" ht="17.100000000000001" customHeight="1">
      <c r="A23" s="29"/>
      <c r="B23" s="62" t="s">
        <v>7</v>
      </c>
      <c r="C23" s="63"/>
      <c r="D23" s="63"/>
      <c r="E23" s="63"/>
      <c r="F23" s="63"/>
      <c r="G23" s="63"/>
      <c r="H23" s="63"/>
      <c r="I23" s="64"/>
    </row>
    <row r="24" spans="1:10" s="3" customFormat="1" ht="17.100000000000001" customHeight="1">
      <c r="A24" s="29"/>
      <c r="B24" s="65" t="s">
        <v>6</v>
      </c>
      <c r="C24" s="66"/>
      <c r="D24" s="66"/>
      <c r="E24" s="66"/>
      <c r="F24" s="66"/>
      <c r="G24" s="66"/>
      <c r="H24" s="66"/>
      <c r="I24" s="67"/>
    </row>
    <row r="25" spans="1:10" s="3" customFormat="1" ht="17.100000000000001" customHeight="1">
      <c r="A25" s="29"/>
      <c r="B25" s="65" t="s">
        <v>5</v>
      </c>
      <c r="C25" s="66"/>
      <c r="D25" s="66"/>
      <c r="E25" s="66"/>
      <c r="F25" s="66"/>
      <c r="G25" s="66"/>
      <c r="H25" s="66"/>
      <c r="I25" s="67"/>
    </row>
    <row r="26" spans="1:10" s="3" customFormat="1" ht="17.100000000000001" customHeight="1">
      <c r="A26" s="29"/>
      <c r="B26" s="47" t="s">
        <v>4</v>
      </c>
      <c r="C26" s="48"/>
      <c r="D26" s="48"/>
      <c r="E26" s="48"/>
      <c r="F26" s="48"/>
      <c r="G26" s="48"/>
      <c r="H26" s="48"/>
      <c r="I26" s="49"/>
    </row>
    <row r="27" spans="1:10" s="3" customFormat="1" ht="17.100000000000001" customHeight="1">
      <c r="A27" s="29"/>
      <c r="B27" s="62" t="s">
        <v>3</v>
      </c>
      <c r="C27" s="63"/>
      <c r="D27" s="63"/>
      <c r="E27" s="63"/>
      <c r="F27" s="63"/>
      <c r="G27" s="63"/>
      <c r="H27" s="63"/>
      <c r="I27" s="64"/>
    </row>
    <row r="28" spans="1:10" s="3" customFormat="1" ht="17.100000000000001" customHeight="1">
      <c r="A28" s="29"/>
      <c r="B28" s="62" t="s">
        <v>2</v>
      </c>
      <c r="C28" s="63"/>
      <c r="D28" s="63"/>
      <c r="E28" s="63"/>
      <c r="F28" s="63"/>
      <c r="G28" s="63"/>
      <c r="H28" s="63"/>
      <c r="I28" s="64"/>
    </row>
    <row r="29" spans="1:10" s="3" customFormat="1" ht="17.100000000000001" customHeight="1">
      <c r="A29" s="29"/>
      <c r="B29" s="62" t="s">
        <v>1</v>
      </c>
      <c r="C29" s="63"/>
      <c r="D29" s="63"/>
      <c r="E29" s="63"/>
      <c r="F29" s="63"/>
      <c r="G29" s="63"/>
      <c r="H29" s="63"/>
      <c r="I29" s="64"/>
    </row>
    <row r="30" spans="1:10" s="3" customFormat="1" ht="17.100000000000001" customHeight="1">
      <c r="A30" s="29"/>
      <c r="B30" s="62" t="s">
        <v>0</v>
      </c>
      <c r="C30" s="63"/>
      <c r="D30" s="63"/>
      <c r="E30" s="63"/>
      <c r="F30" s="63"/>
      <c r="G30" s="63"/>
      <c r="H30" s="63"/>
      <c r="I30" s="64"/>
    </row>
    <row r="31" spans="1:10" s="3" customFormat="1" ht="17.100000000000001" customHeight="1">
      <c r="A31" s="30"/>
      <c r="B31" s="74"/>
      <c r="C31" s="75"/>
      <c r="D31" s="75"/>
      <c r="E31" s="75"/>
      <c r="F31" s="75"/>
      <c r="G31" s="75"/>
      <c r="H31" s="75"/>
      <c r="I31" s="76"/>
    </row>
    <row r="32" spans="1:10" customFormat="1" ht="15.9" customHeigh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9">
    <mergeCell ref="B31:I31"/>
    <mergeCell ref="B19:I19"/>
    <mergeCell ref="B20:I20"/>
    <mergeCell ref="A14:D14"/>
    <mergeCell ref="B30:I30"/>
    <mergeCell ref="B22:I22"/>
    <mergeCell ref="B29:I29"/>
    <mergeCell ref="A15:D15"/>
    <mergeCell ref="B23:I23"/>
    <mergeCell ref="B28:I28"/>
    <mergeCell ref="B24:I24"/>
    <mergeCell ref="B27:I27"/>
    <mergeCell ref="A16:D16"/>
    <mergeCell ref="B18:I18"/>
    <mergeCell ref="B21:I21"/>
    <mergeCell ref="B25:I25"/>
    <mergeCell ref="A1:I1"/>
    <mergeCell ref="B12:D12"/>
    <mergeCell ref="B13:D13"/>
  </mergeCells>
  <phoneticPr fontId="34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2020-09-10T23:14:44Z</cp:lastPrinted>
  <dcterms:created xsi:type="dcterms:W3CDTF">2001-05-22T00:47:40Z</dcterms:created>
  <dcterms:modified xsi:type="dcterms:W3CDTF">2025-08-28T04:54:28Z</dcterms:modified>
</cp:coreProperties>
</file>