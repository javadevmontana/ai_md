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작업중문서\업무\견적\2025\유지보수\전주페이퍼-문서뷰어\"/>
    </mc:Choice>
  </mc:AlternateContent>
  <bookViews>
    <workbookView xWindow="0" yWindow="0" windowWidth="28800" windowHeight="12285"/>
  </bookViews>
  <sheets>
    <sheet name="견적서" sheetId="2" r:id="rId1"/>
  </sheets>
  <calcPr calcId="162913"/>
</workbook>
</file>

<file path=xl/calcChain.xml><?xml version="1.0" encoding="utf-8"?>
<calcChain xmlns="http://schemas.openxmlformats.org/spreadsheetml/2006/main">
  <c r="H14" i="2" l="1"/>
  <c r="H15" i="2" s="1"/>
  <c r="H16" i="2" l="1"/>
  <c r="H18" i="2" l="1"/>
  <c r="H19" i="2" l="1"/>
  <c r="H20" i="2" s="1"/>
  <c r="B10" i="2" s="1"/>
</calcChain>
</file>

<file path=xl/sharedStrings.xml><?xml version="1.0" encoding="utf-8"?>
<sst xmlns="http://schemas.openxmlformats.org/spreadsheetml/2006/main" count="43" uniqueCount="42">
  <si>
    <t xml:space="preserve"> 견적일로부터 1개월</t>
    <phoneticPr fontId="2" type="noConversion"/>
  </si>
  <si>
    <t>수량</t>
    <phoneticPr fontId="2" type="noConversion"/>
  </si>
  <si>
    <t>공급 단가</t>
    <phoneticPr fontId="2" type="noConversion"/>
  </si>
  <si>
    <t>공급 금액</t>
    <phoneticPr fontId="2" type="noConversion"/>
  </si>
  <si>
    <t>견적 번호</t>
    <phoneticPr fontId="2" type="noConversion"/>
  </si>
  <si>
    <t>제  출  처</t>
    <phoneticPr fontId="2" type="noConversion"/>
  </si>
  <si>
    <t>견적 일자</t>
    <phoneticPr fontId="2" type="noConversion"/>
  </si>
  <si>
    <t>유효 기간</t>
    <phoneticPr fontId="2" type="noConversion"/>
  </si>
  <si>
    <t>(단위:원, 부가세별도)</t>
    <phoneticPr fontId="2" type="noConversion"/>
  </si>
  <si>
    <t>견  적  명</t>
    <phoneticPr fontId="2" type="noConversion"/>
  </si>
  <si>
    <t>참  조</t>
    <phoneticPr fontId="2" type="noConversion"/>
  </si>
  <si>
    <t xml:space="preserve"> 아래와 같이 가격 제안합니다.</t>
    <phoneticPr fontId="2" type="noConversion"/>
  </si>
  <si>
    <t>소비자단가</t>
    <phoneticPr fontId="2" type="noConversion"/>
  </si>
  <si>
    <t>비 고</t>
    <phoneticPr fontId="2" type="noConversion"/>
  </si>
  <si>
    <t>견   적   서</t>
    <phoneticPr fontId="4" type="noConversion"/>
  </si>
  <si>
    <t xml:space="preserve">견적 금액 </t>
    <phoneticPr fontId="2" type="noConversion"/>
  </si>
  <si>
    <t xml:space="preserve"> 주식회사  비 즈 웰</t>
    <phoneticPr fontId="2" type="noConversion"/>
  </si>
  <si>
    <r>
      <t xml:space="preserve"> 대표이사  신 재 복        </t>
    </r>
    <r>
      <rPr>
        <sz val="8"/>
        <rFont val="맑은 고딕"/>
        <family val="3"/>
        <charset val="129"/>
        <scheme val="minor"/>
      </rPr>
      <t>(직인생략)</t>
    </r>
    <phoneticPr fontId="2" type="noConversion"/>
  </si>
  <si>
    <t xml:space="preserve"> Tel) 031-425-5820   Fax) 031-450-5821</t>
    <phoneticPr fontId="2" type="noConversion"/>
  </si>
  <si>
    <t xml:space="preserve"> 경기도 안양시 동안구 학의로 282 금강타워 B동 1915호</t>
    <phoneticPr fontId="2" type="noConversion"/>
  </si>
  <si>
    <t>합    계</t>
    <phoneticPr fontId="2" type="noConversion"/>
  </si>
  <si>
    <t>견적 금액</t>
    <phoneticPr fontId="2" type="noConversion"/>
  </si>
  <si>
    <t>영업문의</t>
    <phoneticPr fontId="2" type="noConversion"/>
  </si>
  <si>
    <t>문서뷰어</t>
    <phoneticPr fontId="2" type="noConversion"/>
  </si>
  <si>
    <t>SW</t>
    <phoneticPr fontId="2" type="noConversion"/>
  </si>
  <si>
    <t xml:space="preserve"> Synap Document Viewer</t>
    <phoneticPr fontId="2" type="noConversion"/>
  </si>
  <si>
    <t>SW 소계</t>
    <phoneticPr fontId="2" type="noConversion"/>
  </si>
  <si>
    <t>내용</t>
    <phoneticPr fontId="2" type="noConversion"/>
  </si>
  <si>
    <t>구분</t>
    <phoneticPr fontId="2" type="noConversion"/>
  </si>
  <si>
    <t>항목</t>
    <phoneticPr fontId="2" type="noConversion"/>
  </si>
  <si>
    <t>개발비</t>
    <phoneticPr fontId="2" type="noConversion"/>
  </si>
  <si>
    <t xml:space="preserve"> 커스터마이징</t>
    <phoneticPr fontId="2" type="noConversion"/>
  </si>
  <si>
    <t xml:space="preserve"> 전주페이퍼 문서뷰어 구축</t>
    <phoneticPr fontId="2" type="noConversion"/>
  </si>
  <si>
    <t xml:space="preserve"> 한울정보 귀중</t>
    <phoneticPr fontId="2" type="noConversion"/>
  </si>
  <si>
    <t xml:space="preserve"> 2025. 08. 18</t>
    <phoneticPr fontId="2" type="noConversion"/>
  </si>
  <si>
    <t xml:space="preserve"> 2025-08-205</t>
    <phoneticPr fontId="2" type="noConversion"/>
  </si>
  <si>
    <t xml:space="preserve"> 김선태 부장 (kst@bizwell.net)  /  070-4616-5017  /  010-3470-1292
 김형준 이사 (kimhj@bizwell.net) / 070-4616-5049 / 010-6565-9047</t>
    <phoneticPr fontId="2" type="noConversion"/>
  </si>
  <si>
    <t xml:space="preserve"> ※ HW, OS 등 infra 는 포함되지 않았습니다.</t>
    <phoneticPr fontId="2" type="noConversion"/>
  </si>
  <si>
    <t xml:space="preserve"> ※ 투입인력 작업수행 조건 : 비상주 (상주 요구 시 재견적 필요)</t>
    <phoneticPr fontId="2" type="noConversion"/>
  </si>
  <si>
    <t xml:space="preserve"> ※ 견적 유효기간 내에 개발진행 확정시 세부 개발일정에 대한 협의가 이루어집니다.</t>
    <phoneticPr fontId="2" type="noConversion"/>
  </si>
  <si>
    <t xml:space="preserve"> ※ 개발 소요기간은 산정된 작업공수와 동일하지 않습니다. (별도 협의 필요)</t>
    <phoneticPr fontId="2" type="noConversion"/>
  </si>
  <si>
    <t xml:space="preserve">  - 설치, 환경설정, 테스트
  - 연동개발
    (메일/ 전자결재/게시판 첨부파일 미리보기)
  - 게시판 메일 전달기능 제거
  - 게시판은 첨부파일 저장 불가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</si>
</sst>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76" formatCode="#,##0_ "/>
    <numFmt numFmtId="177" formatCode="0&quot;M/D&quot;"/>
  </numFmts>
  <fonts count="19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MS Sans Serif"/>
      <family val="2"/>
    </font>
    <font>
      <b/>
      <sz val="9"/>
      <name val="굴림체"/>
      <family val="3"/>
      <charset val="129"/>
    </font>
    <font>
      <sz val="11"/>
      <name val="굴림체"/>
      <family val="3"/>
      <charset val="129"/>
    </font>
    <font>
      <b/>
      <sz val="14"/>
      <name val="HY그래픽M"/>
      <family val="1"/>
      <charset val="129"/>
    </font>
    <font>
      <sz val="9"/>
      <name val="HY그래픽M"/>
      <family val="1"/>
      <charset val="129"/>
    </font>
    <font>
      <sz val="11"/>
      <name val="HY그래픽M"/>
      <family val="1"/>
      <charset val="129"/>
    </font>
    <font>
      <sz val="10"/>
      <name val="HY그래픽M"/>
      <family val="1"/>
      <charset val="129"/>
    </font>
    <font>
      <b/>
      <sz val="2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18"/>
      <name val="맑은 고딕"/>
      <family val="3"/>
      <charset val="129"/>
      <scheme val="major"/>
    </font>
    <font>
      <sz val="11"/>
      <color theme="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indexed="64"/>
      </top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</borders>
  <cellStyleXfs count="4">
    <xf numFmtId="0" fontId="0" fillId="0" borderId="0"/>
    <xf numFmtId="41" fontId="1" fillId="0" borderId="0" applyFont="0" applyFill="0" applyBorder="0" applyAlignment="0" applyProtection="0"/>
    <xf numFmtId="0" fontId="3" fillId="0" borderId="0"/>
    <xf numFmtId="0" fontId="17" fillId="0" borderId="0">
      <alignment vertical="center"/>
    </xf>
  </cellStyleXfs>
  <cellXfs count="94">
    <xf numFmtId="0" fontId="0" fillId="0" borderId="0" xfId="0"/>
    <xf numFmtId="0" fontId="5" fillId="0" borderId="0" xfId="0" applyFont="1"/>
    <xf numFmtId="0" fontId="8" fillId="0" borderId="0" xfId="0" applyFont="1"/>
    <xf numFmtId="0" fontId="9" fillId="0" borderId="0" xfId="0" applyFont="1" applyAlignment="1">
      <alignment vertical="center"/>
    </xf>
    <xf numFmtId="0" fontId="9" fillId="0" borderId="0" xfId="0" applyFont="1"/>
    <xf numFmtId="0" fontId="7" fillId="0" borderId="0" xfId="0" applyFont="1" applyAlignment="1">
      <alignment vertical="center"/>
    </xf>
    <xf numFmtId="0" fontId="11" fillId="5" borderId="1" xfId="2" applyFont="1" applyFill="1" applyBorder="1" applyAlignment="1">
      <alignment horizontal="center" vertical="center"/>
    </xf>
    <xf numFmtId="41" fontId="14" fillId="3" borderId="5" xfId="1" applyFont="1" applyFill="1" applyBorder="1" applyAlignment="1">
      <alignment vertical="center"/>
    </xf>
    <xf numFmtId="0" fontId="11" fillId="5" borderId="7" xfId="2" applyFont="1" applyFill="1" applyBorder="1" applyAlignment="1">
      <alignment horizontal="center" vertical="center"/>
    </xf>
    <xf numFmtId="0" fontId="11" fillId="5" borderId="4" xfId="2" applyFont="1" applyFill="1" applyBorder="1" applyAlignment="1">
      <alignment horizontal="center" vertical="center"/>
    </xf>
    <xf numFmtId="41" fontId="14" fillId="5" borderId="5" xfId="1" applyNumberFormat="1" applyFont="1" applyFill="1" applyBorder="1" applyAlignment="1">
      <alignment horizontal="center" vertical="center"/>
    </xf>
    <xf numFmtId="41" fontId="15" fillId="6" borderId="8" xfId="1" applyFont="1" applyFill="1" applyBorder="1" applyAlignment="1">
      <alignment horizontal="center" vertical="center"/>
    </xf>
    <xf numFmtId="41" fontId="15" fillId="6" borderId="8" xfId="2" applyNumberFormat="1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41" fontId="7" fillId="0" borderId="0" xfId="0" applyNumberFormat="1" applyFont="1" applyAlignment="1">
      <alignment vertical="center"/>
    </xf>
    <xf numFmtId="9" fontId="15" fillId="6" borderId="8" xfId="2" applyNumberFormat="1" applyFont="1" applyFill="1" applyBorder="1" applyAlignment="1">
      <alignment horizontal="center" vertical="center"/>
    </xf>
    <xf numFmtId="41" fontId="15" fillId="3" borderId="5" xfId="2" applyNumberFormat="1" applyFont="1" applyFill="1" applyBorder="1" applyAlignment="1">
      <alignment horizontal="center" vertical="center"/>
    </xf>
    <xf numFmtId="41" fontId="14" fillId="3" borderId="5" xfId="2" applyNumberFormat="1" applyFont="1" applyFill="1" applyBorder="1" applyAlignment="1">
      <alignment horizontal="center" vertical="center"/>
    </xf>
    <xf numFmtId="9" fontId="14" fillId="0" borderId="4" xfId="1" applyNumberFormat="1" applyFont="1" applyFill="1" applyBorder="1" applyAlignment="1">
      <alignment horizontal="center" vertical="center" wrapText="1"/>
    </xf>
    <xf numFmtId="0" fontId="15" fillId="7" borderId="11" xfId="0" applyFont="1" applyFill="1" applyBorder="1" applyAlignment="1">
      <alignment horizontal="center" vertical="center"/>
    </xf>
    <xf numFmtId="41" fontId="15" fillId="7" borderId="11" xfId="1" applyFont="1" applyFill="1" applyBorder="1" applyAlignment="1">
      <alignment horizontal="center" vertical="center"/>
    </xf>
    <xf numFmtId="41" fontId="15" fillId="7" borderId="11" xfId="2" applyNumberFormat="1" applyFont="1" applyFill="1" applyBorder="1" applyAlignment="1">
      <alignment horizontal="center" vertical="center"/>
    </xf>
    <xf numFmtId="9" fontId="15" fillId="7" borderId="11" xfId="2" applyNumberFormat="1" applyFont="1" applyFill="1" applyBorder="1" applyAlignment="1">
      <alignment horizontal="center" vertical="center"/>
    </xf>
    <xf numFmtId="9" fontId="14" fillId="0" borderId="6" xfId="2" applyNumberFormat="1" applyFont="1" applyFill="1" applyBorder="1" applyAlignment="1">
      <alignment horizontal="center" vertical="center"/>
    </xf>
    <xf numFmtId="41" fontId="14" fillId="0" borderId="8" xfId="1" applyFont="1" applyFill="1" applyBorder="1" applyAlignment="1">
      <alignment horizontal="center" vertical="center"/>
    </xf>
    <xf numFmtId="41" fontId="14" fillId="0" borderId="8" xfId="2" applyNumberFormat="1" applyFont="1" applyFill="1" applyBorder="1" applyAlignment="1">
      <alignment horizontal="center" vertical="center"/>
    </xf>
    <xf numFmtId="41" fontId="14" fillId="7" borderId="8" xfId="1" applyFont="1" applyFill="1" applyBorder="1" applyAlignment="1">
      <alignment vertical="center"/>
    </xf>
    <xf numFmtId="41" fontId="14" fillId="5" borderId="4" xfId="1" applyNumberFormat="1" applyFont="1" applyFill="1" applyBorder="1" applyAlignment="1">
      <alignment horizontal="center" vertical="center"/>
    </xf>
    <xf numFmtId="0" fontId="14" fillId="5" borderId="4" xfId="2" applyFont="1" applyFill="1" applyBorder="1" applyAlignment="1">
      <alignment horizontal="center" vertical="center"/>
    </xf>
    <xf numFmtId="41" fontId="14" fillId="7" borderId="5" xfId="2" applyNumberFormat="1" applyFont="1" applyFill="1" applyBorder="1" applyAlignment="1">
      <alignment horizontal="center" vertical="center"/>
    </xf>
    <xf numFmtId="9" fontId="14" fillId="0" borderId="5" xfId="1" applyNumberFormat="1" applyFont="1" applyFill="1" applyBorder="1" applyAlignment="1">
      <alignment horizontal="center" vertical="center" wrapText="1"/>
    </xf>
    <xf numFmtId="176" fontId="14" fillId="0" borderId="5" xfId="1" applyNumberFormat="1" applyFont="1" applyBorder="1" applyAlignment="1" applyProtection="1">
      <alignment horizontal="center" vertical="center"/>
      <protection locked="0"/>
    </xf>
    <xf numFmtId="41" fontId="14" fillId="7" borderId="5" xfId="1" applyFont="1" applyFill="1" applyBorder="1" applyAlignment="1">
      <alignment horizontal="center" vertical="center"/>
    </xf>
    <xf numFmtId="41" fontId="14" fillId="3" borderId="1" xfId="2" applyNumberFormat="1" applyFont="1" applyFill="1" applyBorder="1" applyAlignment="1">
      <alignment horizontal="center" vertical="center"/>
    </xf>
    <xf numFmtId="41" fontId="14" fillId="3" borderId="2" xfId="2" applyNumberFormat="1" applyFont="1" applyFill="1" applyBorder="1" applyAlignment="1">
      <alignment horizontal="center" vertical="center"/>
    </xf>
    <xf numFmtId="41" fontId="14" fillId="3" borderId="3" xfId="2" applyNumberFormat="1" applyFont="1" applyFill="1" applyBorder="1" applyAlignment="1">
      <alignment horizontal="center" vertical="center"/>
    </xf>
    <xf numFmtId="0" fontId="14" fillId="0" borderId="6" xfId="0" applyFont="1" applyBorder="1" applyAlignment="1">
      <alignment horizontal="center" vertical="center" wrapText="1"/>
    </xf>
    <xf numFmtId="0" fontId="14" fillId="0" borderId="19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left" vertical="center"/>
    </xf>
    <xf numFmtId="0" fontId="14" fillId="0" borderId="3" xfId="0" applyFont="1" applyBorder="1" applyAlignment="1">
      <alignment horizontal="left" vertical="center"/>
    </xf>
    <xf numFmtId="0" fontId="12" fillId="8" borderId="7" xfId="0" applyFont="1" applyFill="1" applyBorder="1" applyAlignment="1">
      <alignment horizontal="left" vertical="center"/>
    </xf>
    <xf numFmtId="0" fontId="12" fillId="8" borderId="14" xfId="0" applyFont="1" applyFill="1" applyBorder="1" applyAlignment="1">
      <alignment horizontal="left" vertical="center"/>
    </xf>
    <xf numFmtId="0" fontId="12" fillId="8" borderId="15" xfId="0" applyFont="1" applyFill="1" applyBorder="1" applyAlignment="1">
      <alignment horizontal="left" vertical="center"/>
    </xf>
    <xf numFmtId="0" fontId="14" fillId="0" borderId="16" xfId="0" applyFont="1" applyFill="1" applyBorder="1" applyAlignment="1">
      <alignment horizontal="center" vertical="center"/>
    </xf>
    <xf numFmtId="0" fontId="14" fillId="0" borderId="17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5" fillId="6" borderId="16" xfId="0" applyFont="1" applyFill="1" applyBorder="1" applyAlignment="1">
      <alignment horizontal="center" vertical="center"/>
    </xf>
    <xf numFmtId="0" fontId="15" fillId="6" borderId="17" xfId="0" applyFont="1" applyFill="1" applyBorder="1" applyAlignment="1">
      <alignment horizontal="center" vertical="center"/>
    </xf>
    <xf numFmtId="0" fontId="15" fillId="6" borderId="18" xfId="0" applyFont="1" applyFill="1" applyBorder="1" applyAlignment="1">
      <alignment horizontal="center" vertical="center"/>
    </xf>
    <xf numFmtId="0" fontId="12" fillId="8" borderId="9" xfId="0" applyFont="1" applyFill="1" applyBorder="1" applyAlignment="1">
      <alignment horizontal="left" vertical="center"/>
    </xf>
    <xf numFmtId="0" fontId="12" fillId="8" borderId="0" xfId="0" applyFont="1" applyFill="1" applyBorder="1" applyAlignment="1">
      <alignment horizontal="left" vertical="center"/>
    </xf>
    <xf numFmtId="0" fontId="12" fillId="8" borderId="13" xfId="0" applyFont="1" applyFill="1" applyBorder="1" applyAlignment="1">
      <alignment horizontal="left" vertical="center"/>
    </xf>
    <xf numFmtId="49" fontId="12" fillId="8" borderId="10" xfId="2" applyNumberFormat="1" applyFont="1" applyFill="1" applyBorder="1" applyAlignment="1">
      <alignment horizontal="left" vertical="center"/>
    </xf>
    <xf numFmtId="49" fontId="12" fillId="8" borderId="11" xfId="2" applyNumberFormat="1" applyFont="1" applyFill="1" applyBorder="1" applyAlignment="1">
      <alignment horizontal="left" vertical="center"/>
    </xf>
    <xf numFmtId="49" fontId="12" fillId="8" borderId="12" xfId="2" applyNumberFormat="1" applyFont="1" applyFill="1" applyBorder="1" applyAlignment="1">
      <alignment horizontal="left" vertical="center"/>
    </xf>
    <xf numFmtId="9" fontId="14" fillId="0" borderId="5" xfId="1" applyNumberFormat="1" applyFont="1" applyFill="1" applyBorder="1" applyAlignment="1">
      <alignment horizontal="center" vertical="center" wrapText="1"/>
    </xf>
    <xf numFmtId="9" fontId="14" fillId="0" borderId="19" xfId="1" applyNumberFormat="1" applyFont="1" applyFill="1" applyBorder="1" applyAlignment="1">
      <alignment horizontal="center" vertical="center" wrapText="1"/>
    </xf>
    <xf numFmtId="0" fontId="14" fillId="8" borderId="9" xfId="0" applyFont="1" applyFill="1" applyBorder="1" applyAlignment="1">
      <alignment horizontal="left" vertical="center" wrapText="1"/>
    </xf>
    <xf numFmtId="0" fontId="14" fillId="8" borderId="0" xfId="0" applyFont="1" applyFill="1" applyBorder="1" applyAlignment="1">
      <alignment horizontal="left" vertical="center"/>
    </xf>
    <xf numFmtId="0" fontId="14" fillId="0" borderId="9" xfId="0" applyFont="1" applyBorder="1" applyAlignment="1">
      <alignment horizontal="left" vertical="center"/>
    </xf>
    <xf numFmtId="0" fontId="14" fillId="0" borderId="0" xfId="0" applyFont="1" applyBorder="1" applyAlignment="1">
      <alignment horizontal="left" vertical="center"/>
    </xf>
    <xf numFmtId="177" fontId="14" fillId="0" borderId="5" xfId="1" applyNumberFormat="1" applyFont="1" applyBorder="1" applyAlignment="1" applyProtection="1">
      <alignment horizontal="center" vertical="center"/>
      <protection locked="0"/>
    </xf>
    <xf numFmtId="177" fontId="14" fillId="0" borderId="19" xfId="1" applyNumberFormat="1" applyFont="1" applyBorder="1" applyAlignment="1" applyProtection="1">
      <alignment horizontal="center" vertical="center"/>
      <protection locked="0"/>
    </xf>
    <xf numFmtId="41" fontId="14" fillId="7" borderId="5" xfId="2" applyNumberFormat="1" applyFont="1" applyFill="1" applyBorder="1" applyAlignment="1">
      <alignment horizontal="center" vertical="center"/>
    </xf>
    <xf numFmtId="41" fontId="14" fillId="7" borderId="19" xfId="2" applyNumberFormat="1" applyFont="1" applyFill="1" applyBorder="1" applyAlignment="1">
      <alignment horizontal="center" vertical="center"/>
    </xf>
    <xf numFmtId="41" fontId="14" fillId="7" borderId="5" xfId="1" applyFont="1" applyFill="1" applyBorder="1" applyAlignment="1">
      <alignment horizontal="center" vertical="center"/>
    </xf>
    <xf numFmtId="41" fontId="14" fillId="7" borderId="19" xfId="1" applyFont="1" applyFill="1" applyBorder="1" applyAlignment="1">
      <alignment horizontal="center" vertical="center"/>
    </xf>
    <xf numFmtId="49" fontId="12" fillId="8" borderId="7" xfId="2" applyNumberFormat="1" applyFont="1" applyFill="1" applyBorder="1" applyAlignment="1">
      <alignment horizontal="left" vertical="center"/>
    </xf>
    <xf numFmtId="49" fontId="12" fillId="8" borderId="14" xfId="2" applyNumberFormat="1" applyFont="1" applyFill="1" applyBorder="1" applyAlignment="1">
      <alignment horizontal="left" vertical="center"/>
    </xf>
    <xf numFmtId="49" fontId="12" fillId="8" borderId="15" xfId="2" applyNumberFormat="1" applyFont="1" applyFill="1" applyBorder="1" applyAlignment="1">
      <alignment horizontal="left" vertical="center"/>
    </xf>
    <xf numFmtId="49" fontId="12" fillId="8" borderId="9" xfId="2" applyNumberFormat="1" applyFont="1" applyFill="1" applyBorder="1" applyAlignment="1">
      <alignment horizontal="left" vertical="center"/>
    </xf>
    <xf numFmtId="49" fontId="12" fillId="8" borderId="0" xfId="2" applyNumberFormat="1" applyFont="1" applyFill="1" applyBorder="1" applyAlignment="1">
      <alignment horizontal="left" vertical="center"/>
    </xf>
    <xf numFmtId="49" fontId="12" fillId="8" borderId="13" xfId="2" applyNumberFormat="1" applyFont="1" applyFill="1" applyBorder="1" applyAlignment="1">
      <alignment horizontal="left" vertical="center"/>
    </xf>
    <xf numFmtId="0" fontId="12" fillId="0" borderId="1" xfId="2" applyFont="1" applyBorder="1" applyAlignment="1">
      <alignment horizontal="left" vertical="center"/>
    </xf>
    <xf numFmtId="0" fontId="12" fillId="0" borderId="3" xfId="2" applyFont="1" applyBorder="1" applyAlignment="1">
      <alignment horizontal="left" vertical="center"/>
    </xf>
    <xf numFmtId="41" fontId="14" fillId="7" borderId="7" xfId="2" applyNumberFormat="1" applyFont="1" applyFill="1" applyBorder="1" applyAlignment="1">
      <alignment horizontal="left" vertical="center"/>
    </xf>
    <xf numFmtId="41" fontId="14" fillId="7" borderId="15" xfId="2" applyNumberFormat="1" applyFont="1" applyFill="1" applyBorder="1" applyAlignment="1">
      <alignment horizontal="left" vertical="center"/>
    </xf>
    <xf numFmtId="0" fontId="14" fillId="5" borderId="1" xfId="2" applyFont="1" applyFill="1" applyBorder="1" applyAlignment="1">
      <alignment horizontal="center" vertical="center"/>
    </xf>
    <xf numFmtId="0" fontId="14" fillId="5" borderId="3" xfId="2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16" fillId="4" borderId="0" xfId="2" applyFont="1" applyFill="1" applyAlignment="1" applyProtection="1">
      <alignment horizontal="center" vertical="center"/>
      <protection locked="0"/>
    </xf>
    <xf numFmtId="0" fontId="14" fillId="0" borderId="11" xfId="0" applyFont="1" applyBorder="1" applyAlignment="1">
      <alignment horizontal="right" vertical="center"/>
    </xf>
    <xf numFmtId="0" fontId="12" fillId="0" borderId="11" xfId="0" applyFont="1" applyBorder="1" applyAlignment="1">
      <alignment horizontal="center" vertical="center"/>
    </xf>
    <xf numFmtId="0" fontId="12" fillId="0" borderId="14" xfId="2" applyFont="1" applyBorder="1" applyAlignment="1">
      <alignment horizontal="center" vertical="center"/>
    </xf>
    <xf numFmtId="0" fontId="12" fillId="0" borderId="11" xfId="2" applyFont="1" applyBorder="1" applyAlignment="1">
      <alignment horizontal="left" vertical="center"/>
    </xf>
    <xf numFmtId="0" fontId="10" fillId="0" borderId="0" xfId="2" applyFont="1" applyFill="1" applyAlignment="1" applyProtection="1">
      <alignment horizontal="center" vertical="center"/>
      <protection locked="0"/>
    </xf>
    <xf numFmtId="0" fontId="13" fillId="2" borderId="1" xfId="1" applyNumberFormat="1" applyFont="1" applyFill="1" applyBorder="1" applyAlignment="1" applyProtection="1">
      <alignment horizontal="left" vertical="center"/>
    </xf>
    <xf numFmtId="0" fontId="13" fillId="2" borderId="2" xfId="1" applyNumberFormat="1" applyFont="1" applyFill="1" applyBorder="1" applyAlignment="1" applyProtection="1">
      <alignment horizontal="left" vertical="center"/>
    </xf>
    <xf numFmtId="0" fontId="13" fillId="2" borderId="3" xfId="1" applyNumberFormat="1" applyFont="1" applyFill="1" applyBorder="1" applyAlignment="1" applyProtection="1">
      <alignment horizontal="left" vertical="center"/>
    </xf>
    <xf numFmtId="0" fontId="11" fillId="0" borderId="6" xfId="2" applyFont="1" applyBorder="1" applyAlignment="1">
      <alignment horizontal="center" vertical="center"/>
    </xf>
  </cellXfs>
  <cellStyles count="4">
    <cellStyle name="쉼표 [0]" xfId="1" builtinId="6"/>
    <cellStyle name="표준" xfId="0" builtinId="0"/>
    <cellStyle name="표준 2" xfId="3"/>
    <cellStyle name="표준_제출용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3"/>
  <sheetViews>
    <sheetView tabSelected="1" zoomScaleNormal="100" workbookViewId="0">
      <selection activeCell="E18" sqref="E18"/>
    </sheetView>
  </sheetViews>
  <sheetFormatPr defaultColWidth="8.88671875" defaultRowHeight="13.5" x14ac:dyDescent="0.15"/>
  <cols>
    <col min="1" max="1" width="11.33203125" style="1" customWidth="1"/>
    <col min="2" max="2" width="11.5546875" style="1" customWidth="1"/>
    <col min="3" max="3" width="12.21875" style="1" customWidth="1"/>
    <col min="4" max="4" width="7.109375" style="1" customWidth="1"/>
    <col min="5" max="5" width="7" style="1" customWidth="1"/>
    <col min="6" max="6" width="9.77734375" style="1" bestFit="1" customWidth="1"/>
    <col min="7" max="7" width="9.6640625" style="1" bestFit="1" customWidth="1"/>
    <col min="8" max="8" width="12.109375" style="1" bestFit="1" customWidth="1"/>
    <col min="9" max="9" width="8.33203125" style="1" customWidth="1"/>
    <col min="10" max="10" width="10.6640625" style="1" bestFit="1" customWidth="1"/>
    <col min="11" max="16384" width="8.88671875" style="1"/>
  </cols>
  <sheetData>
    <row r="1" spans="1:10" s="2" customFormat="1" ht="15.75" customHeight="1" x14ac:dyDescent="0.25">
      <c r="A1" s="83"/>
      <c r="B1" s="83"/>
      <c r="C1" s="83"/>
      <c r="D1" s="83"/>
      <c r="E1" s="83"/>
      <c r="F1" s="83"/>
      <c r="G1" s="83"/>
      <c r="H1" s="83"/>
      <c r="I1" s="83"/>
    </row>
    <row r="2" spans="1:10" s="2" customFormat="1" ht="29.25" customHeight="1" x14ac:dyDescent="0.15">
      <c r="A2" s="84" t="s">
        <v>14</v>
      </c>
      <c r="B2" s="84"/>
      <c r="C2" s="84"/>
      <c r="D2" s="84"/>
      <c r="E2" s="84"/>
      <c r="F2" s="84"/>
      <c r="G2" s="84"/>
      <c r="H2" s="84"/>
      <c r="I2" s="84"/>
    </row>
    <row r="3" spans="1:10" s="2" customFormat="1" ht="16.5" customHeight="1" x14ac:dyDescent="0.15">
      <c r="A3" s="89"/>
      <c r="B3" s="89"/>
      <c r="C3" s="89"/>
      <c r="D3" s="89"/>
      <c r="E3" s="89"/>
      <c r="F3" s="89"/>
      <c r="G3" s="89"/>
      <c r="H3" s="89"/>
      <c r="I3" s="89"/>
    </row>
    <row r="4" spans="1:10" s="3" customFormat="1" ht="20.100000000000001" customHeight="1" x14ac:dyDescent="0.15">
      <c r="A4" s="6" t="s">
        <v>4</v>
      </c>
      <c r="B4" s="77" t="s">
        <v>35</v>
      </c>
      <c r="C4" s="78"/>
      <c r="D4" s="93"/>
      <c r="E4" s="71" t="s">
        <v>16</v>
      </c>
      <c r="F4" s="72"/>
      <c r="G4" s="72"/>
      <c r="H4" s="72"/>
      <c r="I4" s="73"/>
    </row>
    <row r="5" spans="1:10" s="3" customFormat="1" ht="20.100000000000001" customHeight="1" x14ac:dyDescent="0.15">
      <c r="A5" s="6" t="s">
        <v>5</v>
      </c>
      <c r="B5" s="77" t="s">
        <v>33</v>
      </c>
      <c r="C5" s="78"/>
      <c r="D5" s="93"/>
      <c r="E5" s="74" t="s">
        <v>17</v>
      </c>
      <c r="F5" s="75"/>
      <c r="G5" s="75"/>
      <c r="H5" s="75"/>
      <c r="I5" s="76"/>
    </row>
    <row r="6" spans="1:10" s="3" customFormat="1" ht="20.100000000000001" customHeight="1" x14ac:dyDescent="0.15">
      <c r="A6" s="6" t="s">
        <v>6</v>
      </c>
      <c r="B6" s="77" t="s">
        <v>34</v>
      </c>
      <c r="C6" s="78"/>
      <c r="D6" s="93"/>
      <c r="E6" s="74" t="s">
        <v>19</v>
      </c>
      <c r="F6" s="75"/>
      <c r="G6" s="75"/>
      <c r="H6" s="75"/>
      <c r="I6" s="76"/>
    </row>
    <row r="7" spans="1:10" s="3" customFormat="1" ht="20.100000000000001" customHeight="1" x14ac:dyDescent="0.15">
      <c r="A7" s="6" t="s">
        <v>7</v>
      </c>
      <c r="B7" s="77" t="s">
        <v>0</v>
      </c>
      <c r="C7" s="78"/>
      <c r="D7" s="93"/>
      <c r="E7" s="56" t="s">
        <v>18</v>
      </c>
      <c r="F7" s="57"/>
      <c r="G7" s="57"/>
      <c r="H7" s="57"/>
      <c r="I7" s="58"/>
    </row>
    <row r="8" spans="1:10" s="3" customFormat="1" ht="13.5" customHeight="1" x14ac:dyDescent="0.15">
      <c r="A8" s="86"/>
      <c r="B8" s="86"/>
      <c r="C8" s="86"/>
      <c r="D8" s="86"/>
      <c r="E8" s="86"/>
      <c r="F8" s="86"/>
      <c r="G8" s="86"/>
      <c r="H8" s="86"/>
      <c r="I8" s="86"/>
    </row>
    <row r="9" spans="1:10" s="3" customFormat="1" ht="20.100000000000001" customHeight="1" x14ac:dyDescent="0.15">
      <c r="A9" s="8" t="s">
        <v>9</v>
      </c>
      <c r="B9" s="90" t="s">
        <v>32</v>
      </c>
      <c r="C9" s="91"/>
      <c r="D9" s="91"/>
      <c r="E9" s="91"/>
      <c r="F9" s="91"/>
      <c r="G9" s="91"/>
      <c r="H9" s="91"/>
      <c r="I9" s="92"/>
    </row>
    <row r="10" spans="1:10" s="3" customFormat="1" ht="20.100000000000001" customHeight="1" x14ac:dyDescent="0.15">
      <c r="A10" s="9" t="s">
        <v>15</v>
      </c>
      <c r="B10" s="90" t="str">
        <f>TEXT(H20," 일금[DBNum4][$-412]G/표준원정") &amp; " (" &amp; DOLLAR(H20) &amp; " 부가세별도)"</f>
        <v xml:space="preserve"> 일금오백오십만원정 (₩5,500,000 부가세별도)</v>
      </c>
      <c r="C10" s="91"/>
      <c r="D10" s="91"/>
      <c r="E10" s="91"/>
      <c r="F10" s="91"/>
      <c r="G10" s="91"/>
      <c r="H10" s="91"/>
      <c r="I10" s="92"/>
    </row>
    <row r="11" spans="1:10" s="4" customFormat="1" ht="14.25" customHeight="1" x14ac:dyDescent="0.15">
      <c r="A11" s="87"/>
      <c r="B11" s="87"/>
      <c r="C11" s="87"/>
      <c r="D11" s="87"/>
      <c r="E11" s="87"/>
      <c r="F11" s="87"/>
      <c r="G11" s="87"/>
      <c r="H11" s="87"/>
      <c r="I11" s="87"/>
    </row>
    <row r="12" spans="1:10" s="4" customFormat="1" ht="20.25" customHeight="1" x14ac:dyDescent="0.15">
      <c r="A12" s="88" t="s">
        <v>11</v>
      </c>
      <c r="B12" s="88"/>
      <c r="C12" s="88"/>
      <c r="D12" s="88"/>
      <c r="E12" s="88"/>
      <c r="F12" s="88"/>
      <c r="G12" s="88"/>
      <c r="H12" s="85" t="s">
        <v>8</v>
      </c>
      <c r="I12" s="85"/>
    </row>
    <row r="13" spans="1:10" s="5" customFormat="1" ht="18.95" customHeight="1" x14ac:dyDescent="0.15">
      <c r="A13" s="29" t="s">
        <v>29</v>
      </c>
      <c r="B13" s="29" t="s">
        <v>28</v>
      </c>
      <c r="C13" s="81" t="s">
        <v>27</v>
      </c>
      <c r="D13" s="82"/>
      <c r="E13" s="10" t="s">
        <v>1</v>
      </c>
      <c r="F13" s="10" t="s">
        <v>12</v>
      </c>
      <c r="G13" s="10" t="s">
        <v>2</v>
      </c>
      <c r="H13" s="10" t="s">
        <v>3</v>
      </c>
      <c r="I13" s="28" t="s">
        <v>13</v>
      </c>
    </row>
    <row r="14" spans="1:10" s="5" customFormat="1" ht="18.95" customHeight="1" x14ac:dyDescent="0.15">
      <c r="A14" s="37" t="s">
        <v>24</v>
      </c>
      <c r="B14" s="30" t="s">
        <v>23</v>
      </c>
      <c r="C14" s="79" t="s">
        <v>25</v>
      </c>
      <c r="D14" s="80"/>
      <c r="E14" s="32">
        <v>600</v>
      </c>
      <c r="F14" s="30"/>
      <c r="G14" s="30">
        <v>5000</v>
      </c>
      <c r="H14" s="33">
        <f>E14*G14</f>
        <v>3000000</v>
      </c>
      <c r="I14" s="31"/>
    </row>
    <row r="15" spans="1:10" s="5" customFormat="1" ht="18.95" customHeight="1" x14ac:dyDescent="0.15">
      <c r="A15" s="38"/>
      <c r="B15" s="34" t="s">
        <v>26</v>
      </c>
      <c r="C15" s="35"/>
      <c r="D15" s="36"/>
      <c r="E15" s="17"/>
      <c r="F15" s="18"/>
      <c r="G15" s="18"/>
      <c r="H15" s="7">
        <f>SUM(H14:H14)</f>
        <v>3000000</v>
      </c>
      <c r="I15" s="19"/>
    </row>
    <row r="16" spans="1:10" s="5" customFormat="1" ht="18.95" customHeight="1" x14ac:dyDescent="0.15">
      <c r="A16" s="37" t="s">
        <v>30</v>
      </c>
      <c r="B16" s="63" t="s">
        <v>31</v>
      </c>
      <c r="C16" s="64"/>
      <c r="D16" s="64"/>
      <c r="E16" s="65">
        <v>5</v>
      </c>
      <c r="F16" s="67"/>
      <c r="G16" s="67">
        <v>500000</v>
      </c>
      <c r="H16" s="69">
        <f>E16*G16</f>
        <v>2500000</v>
      </c>
      <c r="I16" s="59"/>
      <c r="J16" s="15"/>
    </row>
    <row r="17" spans="1:10" s="5" customFormat="1" ht="68.25" customHeight="1" x14ac:dyDescent="0.15">
      <c r="A17" s="37"/>
      <c r="B17" s="61" t="s">
        <v>41</v>
      </c>
      <c r="C17" s="62"/>
      <c r="D17" s="62"/>
      <c r="E17" s="66"/>
      <c r="F17" s="68"/>
      <c r="G17" s="68"/>
      <c r="H17" s="70"/>
      <c r="I17" s="60"/>
      <c r="J17" s="15"/>
    </row>
    <row r="18" spans="1:10" s="5" customFormat="1" ht="18.95" customHeight="1" x14ac:dyDescent="0.15">
      <c r="A18" s="38"/>
      <c r="B18" s="34" t="s">
        <v>26</v>
      </c>
      <c r="C18" s="35"/>
      <c r="D18" s="36"/>
      <c r="E18" s="17"/>
      <c r="F18" s="18"/>
      <c r="G18" s="18"/>
      <c r="H18" s="7">
        <f>SUM(H16:H17)</f>
        <v>2500000</v>
      </c>
      <c r="I18" s="19"/>
      <c r="J18" s="15"/>
    </row>
    <row r="19" spans="1:10" s="5" customFormat="1" ht="18.95" customHeight="1" x14ac:dyDescent="0.15">
      <c r="A19" s="45" t="s">
        <v>20</v>
      </c>
      <c r="B19" s="46"/>
      <c r="C19" s="46"/>
      <c r="D19" s="47"/>
      <c r="E19" s="25"/>
      <c r="F19" s="26"/>
      <c r="G19" s="26"/>
      <c r="H19" s="27">
        <f>SUM(H15,H18)</f>
        <v>5500000</v>
      </c>
      <c r="I19" s="24"/>
      <c r="J19" s="15"/>
    </row>
    <row r="20" spans="1:10" s="5" customFormat="1" ht="18.95" customHeight="1" x14ac:dyDescent="0.15">
      <c r="A20" s="50" t="s">
        <v>21</v>
      </c>
      <c r="B20" s="51"/>
      <c r="C20" s="51"/>
      <c r="D20" s="52"/>
      <c r="E20" s="11"/>
      <c r="F20" s="12"/>
      <c r="G20" s="12"/>
      <c r="H20" s="12">
        <f>H19</f>
        <v>5500000</v>
      </c>
      <c r="I20" s="16"/>
      <c r="J20" s="15"/>
    </row>
    <row r="21" spans="1:10" s="5" customFormat="1" ht="18.95" customHeight="1" x14ac:dyDescent="0.15">
      <c r="A21" s="20"/>
      <c r="B21" s="20"/>
      <c r="C21" s="20"/>
      <c r="D21" s="20"/>
      <c r="E21" s="21"/>
      <c r="F21" s="22"/>
      <c r="G21" s="22"/>
      <c r="H21" s="22"/>
      <c r="I21" s="23"/>
      <c r="J21" s="15"/>
    </row>
    <row r="22" spans="1:10" s="3" customFormat="1" ht="18.95" customHeight="1" x14ac:dyDescent="0.15">
      <c r="A22" s="48" t="s">
        <v>10</v>
      </c>
      <c r="B22" s="42" t="s">
        <v>37</v>
      </c>
      <c r="C22" s="43"/>
      <c r="D22" s="43"/>
      <c r="E22" s="43"/>
      <c r="F22" s="43"/>
      <c r="G22" s="43"/>
      <c r="H22" s="43"/>
      <c r="I22" s="44"/>
    </row>
    <row r="23" spans="1:10" s="3" customFormat="1" ht="18.95" customHeight="1" x14ac:dyDescent="0.15">
      <c r="A23" s="49"/>
      <c r="B23" s="53" t="s">
        <v>38</v>
      </c>
      <c r="C23" s="54"/>
      <c r="D23" s="54"/>
      <c r="E23" s="54"/>
      <c r="F23" s="54"/>
      <c r="G23" s="54"/>
      <c r="H23" s="54"/>
      <c r="I23" s="55"/>
    </row>
    <row r="24" spans="1:10" s="3" customFormat="1" ht="18.95" customHeight="1" x14ac:dyDescent="0.15">
      <c r="A24" s="49"/>
      <c r="B24" s="53" t="s">
        <v>39</v>
      </c>
      <c r="C24" s="54"/>
      <c r="D24" s="54"/>
      <c r="E24" s="54"/>
      <c r="F24" s="54"/>
      <c r="G24" s="54"/>
      <c r="H24" s="54"/>
      <c r="I24" s="55"/>
    </row>
    <row r="25" spans="1:10" s="3" customFormat="1" ht="18.95" customHeight="1" x14ac:dyDescent="0.15">
      <c r="A25" s="49"/>
      <c r="B25" s="53" t="s">
        <v>40</v>
      </c>
      <c r="C25" s="54"/>
      <c r="D25" s="54"/>
      <c r="E25" s="54"/>
      <c r="F25" s="54"/>
      <c r="G25" s="54"/>
      <c r="H25" s="54"/>
      <c r="I25" s="55"/>
    </row>
    <row r="26" spans="1:10" s="14" customFormat="1" ht="30" customHeight="1" x14ac:dyDescent="0.15">
      <c r="A26" s="13" t="s">
        <v>22</v>
      </c>
      <c r="B26" s="39" t="s">
        <v>36</v>
      </c>
      <c r="C26" s="40"/>
      <c r="D26" s="40"/>
      <c r="E26" s="40"/>
      <c r="F26" s="40"/>
      <c r="G26" s="40"/>
      <c r="H26" s="40"/>
      <c r="I26" s="41"/>
    </row>
    <row r="27" spans="1:10" customFormat="1" ht="15.95" customHeight="1" x14ac:dyDescent="0.15"/>
    <row r="28" spans="1:10" s="2" customFormat="1" x14ac:dyDescent="0.15"/>
    <row r="29" spans="1:10" s="2" customFormat="1" x14ac:dyDescent="0.15"/>
    <row r="30" spans="1:10" s="2" customFormat="1" x14ac:dyDescent="0.15"/>
    <row r="31" spans="1:10" s="2" customFormat="1" x14ac:dyDescent="0.15"/>
    <row r="32" spans="1:10" s="2" customFormat="1" x14ac:dyDescent="0.15"/>
    <row r="33" s="2" customFormat="1" x14ac:dyDescent="0.15"/>
  </sheetData>
  <mergeCells count="39">
    <mergeCell ref="A14:A15"/>
    <mergeCell ref="C14:D14"/>
    <mergeCell ref="B15:D15"/>
    <mergeCell ref="C13:D13"/>
    <mergeCell ref="A1:I1"/>
    <mergeCell ref="A2:I2"/>
    <mergeCell ref="B7:C7"/>
    <mergeCell ref="B5:C5"/>
    <mergeCell ref="H12:I12"/>
    <mergeCell ref="A8:I8"/>
    <mergeCell ref="A11:I11"/>
    <mergeCell ref="A12:G12"/>
    <mergeCell ref="A3:I3"/>
    <mergeCell ref="B9:I9"/>
    <mergeCell ref="B10:I10"/>
    <mergeCell ref="D4:D7"/>
    <mergeCell ref="E4:I4"/>
    <mergeCell ref="E5:I5"/>
    <mergeCell ref="B4:C4"/>
    <mergeCell ref="B6:C6"/>
    <mergeCell ref="E6:I6"/>
    <mergeCell ref="E7:I7"/>
    <mergeCell ref="I16:I17"/>
    <mergeCell ref="B17:D17"/>
    <mergeCell ref="B16:D16"/>
    <mergeCell ref="E16:E17"/>
    <mergeCell ref="F16:F17"/>
    <mergeCell ref="G16:G17"/>
    <mergeCell ref="H16:H17"/>
    <mergeCell ref="B18:D18"/>
    <mergeCell ref="A16:A18"/>
    <mergeCell ref="B26:I26"/>
    <mergeCell ref="B22:I22"/>
    <mergeCell ref="A19:D19"/>
    <mergeCell ref="A22:A25"/>
    <mergeCell ref="A20:D20"/>
    <mergeCell ref="B23:I23"/>
    <mergeCell ref="B24:I24"/>
    <mergeCell ref="B25:I25"/>
  </mergeCells>
  <phoneticPr fontId="2" type="noConversion"/>
  <dataValidations count="1">
    <dataValidation allowBlank="1" showInputMessage="1" showErrorMessage="1" promptTitle="견적금액 표시" prompt="공급금액 합계(VAT별도)를 견적금액(VAT별도) 한글로 자동변환 표시" sqref="B9:B10"/>
  </dataValidations>
  <pageMargins left="0.31496062992125984" right="0.23622047244094491" top="0.47244094488188981" bottom="0.43307086614173229" header="0.43307086614173229" footer="0.35433070866141736"/>
  <pageSetup paperSize="9" scale="87" orientation="portrait" horizontalDpi="4294967294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견적서</vt:lpstr>
    </vt:vector>
  </TitlesOfParts>
  <Company>비즈웰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1</cp:lastModifiedBy>
  <cp:lastPrinted>2025-07-07T06:34:15Z</cp:lastPrinted>
  <dcterms:created xsi:type="dcterms:W3CDTF">2001-05-22T00:47:40Z</dcterms:created>
  <dcterms:modified xsi:type="dcterms:W3CDTF">2025-08-18T02:27:18Z</dcterms:modified>
</cp:coreProperties>
</file>