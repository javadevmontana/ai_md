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2_Workspace\한국캐피탈\"/>
    </mc:Choice>
  </mc:AlternateContent>
  <bookViews>
    <workbookView xWindow="0" yWindow="0" windowWidth="18765" windowHeight="915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5" i="2" l="1"/>
  <c r="B9" i="2" l="1"/>
</calcChain>
</file>

<file path=xl/sharedStrings.xml><?xml version="1.0" encoding="utf-8"?>
<sst xmlns="http://schemas.openxmlformats.org/spreadsheetml/2006/main" count="38" uniqueCount="38">
  <si>
    <t>항 목</t>
    <phoneticPr fontId="6" type="noConversion"/>
  </si>
  <si>
    <t>내   용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</si>
  <si>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</si>
  <si>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</si>
  <si>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</si>
  <si>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</si>
  <si>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</si>
  <si>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</si>
  <si>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견  적  명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</si>
  <si>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</si>
  <si>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</si>
  <si>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</si>
  <si>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</si>
  <si>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 xml:space="preserve"> 경기 안양 동안구 학의로 282 금강펜테리움IT타워 B-1915</t>
    <phoneticPr fontId="6" type="noConversion"/>
  </si>
  <si>
    <t>합  계</t>
    <phoneticPr fontId="6" type="noConversion"/>
  </si>
  <si>
    <t>견적 금액</t>
    <phoneticPr fontId="6" type="noConversion"/>
  </si>
  <si>
    <t>※ SW노임단가는 2014년 소프트웨어 기술자 노임대가 기준입니다. (제경비 110%, 기술료 30% 산정)</t>
    <phoneticPr fontId="6" type="noConversion"/>
  </si>
  <si>
    <t>※ 적용등급 : 중급</t>
    <phoneticPr fontId="6" type="noConversion"/>
  </si>
  <si>
    <t>※ 투입인력 작업수행 조건 : 비상주 (상주 요구 시 재견적 필요)</t>
    <phoneticPr fontId="6" type="noConversion"/>
  </si>
  <si>
    <t>비  고</t>
    <phoneticPr fontId="6" type="noConversion"/>
  </si>
  <si>
    <t>참조 사항</t>
    <phoneticPr fontId="6" type="noConversion"/>
  </si>
  <si>
    <t xml:space="preserve"> 운영지원부문  김형준이사 (kimhj@bizwell.net)  /  070-4616-5049  /  010-6565-9047   </t>
    <phoneticPr fontId="6" type="noConversion"/>
  </si>
  <si>
    <t xml:space="preserve"> 견적일로부터 1개월</t>
    <phoneticPr fontId="6" type="noConversion"/>
  </si>
  <si>
    <t>문  의</t>
    <phoneticPr fontId="6" type="noConversion"/>
  </si>
  <si>
    <t>전제 조건</t>
    <phoneticPr fontId="6" type="noConversion"/>
  </si>
  <si>
    <t>(단위:원, 부가세별도)</t>
    <phoneticPr fontId="6" type="noConversion"/>
  </si>
  <si>
    <t>개발</t>
    <phoneticPr fontId="6" type="noConversion"/>
  </si>
  <si>
    <t>- 개발작업은 기본적으로 원격 작업으로 진행
- 상기 기재된 작업 외 변경 및 추가시 추가공수가 발생할 수 있습니다.</t>
    <phoneticPr fontId="6" type="noConversion"/>
  </si>
  <si>
    <t>※ 기타 참고사항</t>
    <phoneticPr fontId="6" type="noConversion"/>
  </si>
  <si>
    <t xml:space="preserve"> 1) 견적 유효기간 내에 개발진행 확정시 세부 개발일정에 대한 협의가 이루어집니다.</t>
    <phoneticPr fontId="6" type="noConversion"/>
  </si>
  <si>
    <t xml:space="preserve"> 2) 신규 App의 배포 일정은 상호 협의를 통해 확정합니다.</t>
    <phoneticPr fontId="6" type="noConversion"/>
  </si>
  <si>
    <t xml:space="preserve"> 유지보수 고객사 귀중</t>
    <phoneticPr fontId="6" type="noConversion"/>
  </si>
  <si>
    <t xml:space="preserve"> 2024-HKC-D01</t>
    <phoneticPr fontId="6" type="noConversion"/>
  </si>
  <si>
    <t xml:space="preserve"> 2024. 01. 17</t>
    <phoneticPr fontId="6" type="noConversion"/>
  </si>
  <si>
    <t>모바일 그룹웨어 App 신규 개발</t>
    <phoneticPr fontId="6" type="noConversion"/>
  </si>
  <si>
    <t>모바일 그룹웨어 Android App 신규 개발
  - FCM(Firebase Cloud Message)를 통한 Push 알림
  - 배포는 현재와 동일하게 로그인 Page의 Link를 통해서 배포</t>
    <phoneticPr fontId="6" type="noConversion"/>
  </si>
  <si>
    <t>모바일 그룹웨어 iOS App 신규 개발
  - APNS(Apple Push Notification service)를 통한 Push 알림 
  - 배포틑 Apple App Store를 통해서 배포</t>
    <phoneticPr fontId="6" type="noConversion"/>
  </si>
  <si>
    <t>1. 모바일 그룹웨어 엔진은 유지
  - 디자인, 기능 유지
2. 신규 개발시 모바일 그룹웨어의 삭제/재설치 필요.
3. 개발/테스트를 포함한 완료 기간은 10일 예상
4. 전자결재, 공지사항에 대한 모바일 Push 알림 기능
  (전자우편 미사용)
5. Push 발송을 위한 모바일 EKP서버에 FCM, APNS 연결 포트 오픈 필요.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</si>
</sst>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vertical="center"/>
    </xf>
    <xf numFmtId="0" fontId="13" fillId="0" borderId="0" xfId="2" applyFont="1" applyFill="1" applyAlignment="1" applyProtection="1">
      <alignment horizontal="centerContinuous" vertical="center"/>
      <protection locked="0"/>
    </xf>
    <xf numFmtId="0" fontId="13" fillId="0" borderId="0" xfId="2" applyFont="1" applyFill="1" applyAlignment="1">
      <alignment horizontal="centerContinuous" vertical="center"/>
    </xf>
    <xf numFmtId="41" fontId="13" fillId="0" borderId="0" xfId="2" applyNumberFormat="1" applyFont="1" applyFill="1" applyAlignment="1">
      <alignment horizontal="centerContinuous" vertical="center"/>
    </xf>
    <xf numFmtId="41" fontId="14" fillId="0" borderId="0" xfId="2" applyNumberFormat="1" applyFont="1" applyAlignment="1">
      <alignment horizontal="center" vertical="center"/>
    </xf>
    <xf numFmtId="49" fontId="14" fillId="0" borderId="0" xfId="2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0" fontId="16" fillId="2" borderId="1" xfId="1" applyNumberFormat="1" applyFont="1" applyFill="1" applyBorder="1" applyAlignment="1" applyProtection="1">
      <alignment vertical="center"/>
    </xf>
    <xf numFmtId="0" fontId="17" fillId="2" borderId="2" xfId="1" applyNumberFormat="1" applyFont="1" applyFill="1" applyBorder="1" applyAlignment="1" applyProtection="1">
      <alignment vertical="center"/>
    </xf>
    <xf numFmtId="49" fontId="14" fillId="0" borderId="3" xfId="2" applyNumberFormat="1" applyFont="1" applyBorder="1" applyAlignment="1">
      <alignment vertical="center"/>
    </xf>
    <xf numFmtId="41" fontId="14" fillId="0" borderId="0" xfId="2" applyNumberFormat="1" applyFont="1" applyAlignment="1">
      <alignment horizontal="center"/>
    </xf>
    <xf numFmtId="0" fontId="18" fillId="0" borderId="0" xfId="0" applyFont="1" applyAlignment="1">
      <alignment horizontal="right" vertical="center"/>
    </xf>
    <xf numFmtId="0" fontId="14" fillId="4" borderId="1" xfId="2" applyFont="1" applyFill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4" fillId="4" borderId="6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8" fillId="4" borderId="5" xfId="2" applyFont="1" applyFill="1" applyBorder="1" applyAlignment="1">
      <alignment horizontal="center" vertical="center"/>
    </xf>
    <xf numFmtId="41" fontId="18" fillId="4" borderId="5" xfId="1" applyNumberFormat="1" applyFont="1" applyFill="1" applyBorder="1" applyAlignment="1">
      <alignment horizontal="center" vertical="center"/>
    </xf>
    <xf numFmtId="0" fontId="14" fillId="0" borderId="7" xfId="2" applyFont="1" applyBorder="1" applyAlignment="1">
      <alignment horizontal="center" vertical="center"/>
    </xf>
    <xf numFmtId="49" fontId="14" fillId="0" borderId="0" xfId="2" applyNumberFormat="1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1" fontId="10" fillId="0" borderId="0" xfId="0" applyNumberFormat="1" applyFont="1" applyAlignment="1">
      <alignment vertical="center"/>
    </xf>
    <xf numFmtId="49" fontId="15" fillId="0" borderId="6" xfId="2" applyNumberFormat="1" applyFont="1" applyBorder="1" applyAlignment="1">
      <alignment vertical="center"/>
    </xf>
    <xf numFmtId="41" fontId="14" fillId="0" borderId="12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49" fontId="15" fillId="0" borderId="7" xfId="2" applyNumberFormat="1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4" fillId="0" borderId="9" xfId="2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49" fontId="24" fillId="0" borderId="7" xfId="2" applyNumberFormat="1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41" fontId="25" fillId="5" borderId="4" xfId="2" applyNumberFormat="1" applyFont="1" applyFill="1" applyBorder="1" applyAlignment="1">
      <alignment horizontal="center" vertical="center"/>
    </xf>
    <xf numFmtId="9" fontId="25" fillId="5" borderId="4" xfId="2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 wrapText="1"/>
    </xf>
    <xf numFmtId="41" fontId="18" fillId="0" borderId="5" xfId="1" applyFont="1" applyFill="1" applyBorder="1" applyAlignment="1">
      <alignment horizontal="right" vertical="center"/>
    </xf>
    <xf numFmtId="0" fontId="15" fillId="0" borderId="1" xfId="2" applyFont="1" applyFill="1" applyBorder="1" applyAlignment="1">
      <alignment horizontal="left" vertical="center"/>
    </xf>
    <xf numFmtId="0" fontId="14" fillId="0" borderId="3" xfId="2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5" fillId="0" borderId="1" xfId="0" quotePrefix="1" applyFont="1" applyFill="1" applyBorder="1" applyAlignment="1">
      <alignment horizontal="left" vertical="center" wrapText="1"/>
    </xf>
    <xf numFmtId="0" fontId="15" fillId="0" borderId="2" xfId="0" quotePrefix="1" applyFont="1" applyFill="1" applyBorder="1" applyAlignment="1">
      <alignment horizontal="left" vertical="center" wrapText="1"/>
    </xf>
    <xf numFmtId="0" fontId="15" fillId="0" borderId="3" xfId="0" quotePrefix="1" applyFont="1" applyFill="1" applyBorder="1" applyAlignment="1">
      <alignment horizontal="left" vertical="center" wrapText="1"/>
    </xf>
    <xf numFmtId="0" fontId="16" fillId="0" borderId="1" xfId="1" applyNumberFormat="1" applyFont="1" applyFill="1" applyBorder="1" applyAlignment="1" applyProtection="1">
      <alignment horizontal="left" vertical="center"/>
    </xf>
    <xf numFmtId="0" fontId="16" fillId="0" borderId="2" xfId="1" applyNumberFormat="1" applyFont="1" applyFill="1" applyBorder="1" applyAlignment="1" applyProtection="1">
      <alignment horizontal="left" vertical="center"/>
    </xf>
    <xf numFmtId="0" fontId="16" fillId="0" borderId="3" xfId="1" applyNumberFormat="1" applyFont="1" applyFill="1" applyBorder="1" applyAlignment="1" applyProtection="1">
      <alignment horizontal="left" vertical="center"/>
    </xf>
    <xf numFmtId="0" fontId="19" fillId="3" borderId="0" xfId="2" applyFont="1" applyFill="1" applyAlignment="1" applyProtection="1">
      <alignment horizontal="center" vertical="center"/>
      <protection locked="0"/>
    </xf>
    <xf numFmtId="0" fontId="25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horizontal="left" vertical="center" wrapText="1"/>
    </xf>
    <xf numFmtId="0" fontId="18" fillId="0" borderId="2" xfId="0" quotePrefix="1" applyFont="1" applyFill="1" applyBorder="1" applyAlignment="1">
      <alignment horizontal="left" vertical="center" wrapText="1"/>
    </xf>
    <xf numFmtId="0" fontId="18" fillId="0" borderId="3" xfId="0" quotePrefix="1" applyFont="1" applyFill="1" applyBorder="1" applyAlignment="1">
      <alignment horizontal="left" vertical="center" wrapText="1"/>
    </xf>
    <xf numFmtId="0" fontId="18" fillId="4" borderId="1" xfId="2" applyFont="1" applyFill="1" applyBorder="1" applyAlignment="1">
      <alignment horizontal="center" vertical="center"/>
    </xf>
    <xf numFmtId="0" fontId="18" fillId="4" borderId="2" xfId="2" applyFont="1" applyFill="1" applyBorder="1" applyAlignment="1">
      <alignment horizontal="center" vertical="center"/>
    </xf>
    <xf numFmtId="0" fontId="18" fillId="4" borderId="3" xfId="2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9" fontId="18" fillId="0" borderId="5" xfId="2" quotePrefix="1" applyNumberFormat="1" applyFont="1" applyFill="1" applyBorder="1" applyAlignment="1">
      <alignment horizontal="left" vertical="center" wrapText="1"/>
    </xf>
    <xf numFmtId="9" fontId="18" fillId="0" borderId="14" xfId="2" quotePrefix="1" applyNumberFormat="1" applyFont="1" applyFill="1" applyBorder="1" applyAlignment="1">
      <alignment horizontal="left" vertical="center" wrapText="1"/>
    </xf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showGridLines="0" tabSelected="1" topLeftCell="A4" zoomScaleNormal="100" workbookViewId="0">
      <selection activeCell="H14" sqref="H14"/>
    </sheetView>
  </sheetViews>
  <sheetFormatPr defaultColWidth="8.88671875" defaultRowHeight="13.5" x14ac:dyDescent="0.15"/>
  <cols>
    <col min="1" max="1" width="14.88671875" style="1" customWidth="1"/>
    <col min="2" max="2" width="10.5546875" style="1" customWidth="1"/>
    <col min="3" max="3" width="19" style="1" customWidth="1"/>
    <col min="4" max="4" width="4.5546875" style="1" customWidth="1"/>
    <col min="5" max="5" width="5.21875" style="1" customWidth="1"/>
    <col min="6" max="6" width="9.77734375" style="1" customWidth="1"/>
    <col min="7" max="7" width="7.109375" style="1" customWidth="1"/>
    <col min="8" max="8" width="8.33203125" style="1" customWidth="1"/>
    <col min="9" max="9" width="32.3320312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69" t="s">
        <v>10</v>
      </c>
      <c r="B1" s="69"/>
      <c r="C1" s="69"/>
      <c r="D1" s="69"/>
      <c r="E1" s="69"/>
      <c r="F1" s="69"/>
      <c r="G1" s="69"/>
      <c r="H1" s="69"/>
      <c r="I1" s="69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4</v>
      </c>
      <c r="B3" s="49" t="s">
        <v>32</v>
      </c>
      <c r="C3" s="50"/>
      <c r="D3" s="26"/>
      <c r="E3" s="34" t="s">
        <v>3</v>
      </c>
      <c r="F3" s="35"/>
      <c r="G3" s="35"/>
      <c r="H3" s="35"/>
      <c r="I3" s="36"/>
    </row>
    <row r="4" spans="1:10" s="3" customFormat="1" ht="20.100000000000001" customHeight="1" x14ac:dyDescent="0.15">
      <c r="A4" s="19" t="s">
        <v>5</v>
      </c>
      <c r="B4" s="21" t="s">
        <v>31</v>
      </c>
      <c r="C4" s="20"/>
      <c r="D4" s="26"/>
      <c r="E4" s="37" t="s">
        <v>9</v>
      </c>
      <c r="F4" s="27"/>
      <c r="G4" s="27"/>
      <c r="H4" s="27"/>
      <c r="I4" s="38"/>
    </row>
    <row r="5" spans="1:10" s="3" customFormat="1" ht="20.100000000000001" customHeight="1" x14ac:dyDescent="0.15">
      <c r="A5" s="19" t="s">
        <v>6</v>
      </c>
      <c r="B5" s="21" t="s">
        <v>33</v>
      </c>
      <c r="C5" s="20"/>
      <c r="D5" s="26"/>
      <c r="E5" s="41" t="s">
        <v>13</v>
      </c>
      <c r="F5" s="27"/>
      <c r="G5" s="27"/>
      <c r="H5" s="27"/>
      <c r="I5" s="38"/>
    </row>
    <row r="6" spans="1:10" s="3" customFormat="1" ht="20.100000000000001" customHeight="1" x14ac:dyDescent="0.15">
      <c r="A6" s="19" t="s">
        <v>7</v>
      </c>
      <c r="B6" s="21" t="s">
        <v>22</v>
      </c>
      <c r="C6" s="20"/>
      <c r="D6" s="26"/>
      <c r="E6" s="42" t="s">
        <v>12</v>
      </c>
      <c r="F6" s="39"/>
      <c r="G6" s="39"/>
      <c r="H6" s="39"/>
      <c r="I6" s="40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8</v>
      </c>
      <c r="B8" s="66" t="s">
        <v>34</v>
      </c>
      <c r="C8" s="67"/>
      <c r="D8" s="67"/>
      <c r="E8" s="67"/>
      <c r="F8" s="67"/>
      <c r="G8" s="67"/>
      <c r="H8" s="67"/>
      <c r="I8" s="68"/>
    </row>
    <row r="9" spans="1:10" s="3" customFormat="1" ht="20.100000000000001" customHeight="1" x14ac:dyDescent="0.15">
      <c r="A9" s="23" t="s">
        <v>15</v>
      </c>
      <c r="B9" s="14" t="str">
        <f>TEXT(H15," 일금[DBNum4][$-412]G/표준원정") &amp; " (" &amp; DOLLAR(H15) &amp; " 부가세별도)"</f>
        <v xml:space="preserve"> 일금육백오십만원정 (₩6,500,000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8"/>
      <c r="B10" s="13"/>
      <c r="C10" s="13"/>
      <c r="D10" s="13"/>
      <c r="E10" s="9"/>
      <c r="F10" s="9"/>
      <c r="G10" s="9"/>
      <c r="H10" s="17"/>
      <c r="I10" s="18"/>
    </row>
    <row r="11" spans="1:10" s="4" customFormat="1" x14ac:dyDescent="0.25">
      <c r="A11" s="28" t="s">
        <v>11</v>
      </c>
      <c r="B11" s="13"/>
      <c r="C11" s="13"/>
      <c r="D11" s="13"/>
      <c r="E11" s="9"/>
      <c r="F11" s="9"/>
      <c r="G11" s="9"/>
      <c r="H11" s="17"/>
      <c r="I11" s="18" t="s">
        <v>25</v>
      </c>
    </row>
    <row r="12" spans="1:10" s="5" customFormat="1" ht="19.149999999999999" customHeight="1" x14ac:dyDescent="0.15">
      <c r="A12" s="24" t="s">
        <v>0</v>
      </c>
      <c r="B12" s="76" t="s">
        <v>1</v>
      </c>
      <c r="C12" s="77"/>
      <c r="D12" s="77"/>
      <c r="E12" s="77"/>
      <c r="F12" s="77"/>
      <c r="G12" s="78"/>
      <c r="H12" s="25" t="s">
        <v>2</v>
      </c>
      <c r="I12" s="25" t="s">
        <v>19</v>
      </c>
      <c r="J12" s="45"/>
    </row>
    <row r="13" spans="1:10" s="5" customFormat="1" ht="77.25" customHeight="1" x14ac:dyDescent="0.15">
      <c r="A13" s="79" t="s">
        <v>26</v>
      </c>
      <c r="B13" s="73" t="s">
        <v>35</v>
      </c>
      <c r="C13" s="74"/>
      <c r="D13" s="74"/>
      <c r="E13" s="74"/>
      <c r="F13" s="74"/>
      <c r="G13" s="75"/>
      <c r="H13" s="48">
        <v>3500000</v>
      </c>
      <c r="I13" s="81" t="s">
        <v>37</v>
      </c>
      <c r="J13" s="45"/>
    </row>
    <row r="14" spans="1:10" s="5" customFormat="1" ht="78" customHeight="1" x14ac:dyDescent="0.15">
      <c r="A14" s="80"/>
      <c r="B14" s="73" t="s">
        <v>36</v>
      </c>
      <c r="C14" s="74"/>
      <c r="D14" s="74"/>
      <c r="E14" s="74"/>
      <c r="F14" s="74"/>
      <c r="G14" s="75"/>
      <c r="H14" s="48">
        <v>3000000</v>
      </c>
      <c r="I14" s="82"/>
      <c r="J14" s="45"/>
    </row>
    <row r="15" spans="1:10" s="5" customFormat="1" ht="18.75" customHeight="1" x14ac:dyDescent="0.15">
      <c r="A15" s="70" t="s">
        <v>14</v>
      </c>
      <c r="B15" s="71"/>
      <c r="C15" s="71"/>
      <c r="D15" s="71"/>
      <c r="E15" s="71"/>
      <c r="F15" s="71"/>
      <c r="G15" s="72"/>
      <c r="H15" s="43">
        <f>SUM(H13:H14)</f>
        <v>6500000</v>
      </c>
      <c r="I15" s="44"/>
      <c r="J15" s="33"/>
    </row>
    <row r="16" spans="1:10" s="4" customFormat="1" ht="14.25" customHeight="1" x14ac:dyDescent="0.25">
      <c r="A16" s="28"/>
      <c r="B16" s="13"/>
      <c r="C16" s="13"/>
      <c r="D16" s="13"/>
      <c r="E16" s="9"/>
      <c r="F16" s="9"/>
      <c r="G16" s="9"/>
      <c r="H16" s="17"/>
      <c r="I16" s="18"/>
    </row>
    <row r="17" spans="1:10" s="3" customFormat="1" ht="60.75" customHeight="1" x14ac:dyDescent="0.15">
      <c r="A17" s="47" t="s">
        <v>24</v>
      </c>
      <c r="B17" s="63" t="s">
        <v>27</v>
      </c>
      <c r="C17" s="64"/>
      <c r="D17" s="64"/>
      <c r="E17" s="64"/>
      <c r="F17" s="64"/>
      <c r="G17" s="64"/>
      <c r="H17" s="64"/>
      <c r="I17" s="65"/>
      <c r="J17" s="46"/>
    </row>
    <row r="18" spans="1:10" s="3" customFormat="1" ht="17.100000000000001" customHeight="1" x14ac:dyDescent="0.15">
      <c r="A18" s="29"/>
      <c r="B18" s="54" t="s">
        <v>16</v>
      </c>
      <c r="C18" s="55"/>
      <c r="D18" s="55"/>
      <c r="E18" s="55"/>
      <c r="F18" s="55"/>
      <c r="G18" s="55"/>
      <c r="H18" s="55"/>
      <c r="I18" s="56"/>
    </row>
    <row r="19" spans="1:10" s="3" customFormat="1" ht="17.100000000000001" customHeight="1" x14ac:dyDescent="0.15">
      <c r="A19" s="30" t="s">
        <v>20</v>
      </c>
      <c r="B19" s="57" t="s">
        <v>17</v>
      </c>
      <c r="C19" s="58"/>
      <c r="D19" s="58"/>
      <c r="E19" s="58"/>
      <c r="F19" s="58"/>
      <c r="G19" s="58"/>
      <c r="H19" s="58"/>
      <c r="I19" s="59"/>
    </row>
    <row r="20" spans="1:10" s="3" customFormat="1" ht="17.100000000000001" customHeight="1" x14ac:dyDescent="0.15">
      <c r="A20" s="30"/>
      <c r="B20" s="60" t="s">
        <v>18</v>
      </c>
      <c r="C20" s="61"/>
      <c r="D20" s="61"/>
      <c r="E20" s="61"/>
      <c r="F20" s="61"/>
      <c r="G20" s="61"/>
      <c r="H20" s="61"/>
      <c r="I20" s="62"/>
    </row>
    <row r="21" spans="1:10" s="3" customFormat="1" ht="17.100000000000001" customHeight="1" x14ac:dyDescent="0.15">
      <c r="A21" s="30"/>
      <c r="B21" s="57" t="s">
        <v>28</v>
      </c>
      <c r="C21" s="58"/>
      <c r="D21" s="58"/>
      <c r="E21" s="58"/>
      <c r="F21" s="58"/>
      <c r="G21" s="58"/>
      <c r="H21" s="58"/>
      <c r="I21" s="59"/>
    </row>
    <row r="22" spans="1:10" s="3" customFormat="1" ht="17.100000000000001" customHeight="1" x14ac:dyDescent="0.15">
      <c r="A22" s="30"/>
      <c r="B22" s="57" t="s">
        <v>29</v>
      </c>
      <c r="C22" s="58"/>
      <c r="D22" s="58"/>
      <c r="E22" s="58"/>
      <c r="F22" s="58"/>
      <c r="G22" s="58"/>
      <c r="H22" s="58"/>
      <c r="I22" s="59"/>
    </row>
    <row r="23" spans="1:10" s="3" customFormat="1" ht="17.100000000000001" customHeight="1" x14ac:dyDescent="0.15">
      <c r="A23" s="30"/>
      <c r="B23" s="57" t="s">
        <v>30</v>
      </c>
      <c r="C23" s="58"/>
      <c r="D23" s="58"/>
      <c r="E23" s="58"/>
      <c r="F23" s="58"/>
      <c r="G23" s="58"/>
      <c r="H23" s="58"/>
      <c r="I23" s="59"/>
    </row>
    <row r="24" spans="1:10" s="32" customFormat="1" ht="18.75" customHeight="1" x14ac:dyDescent="0.15">
      <c r="A24" s="31" t="s">
        <v>23</v>
      </c>
      <c r="B24" s="51" t="s">
        <v>21</v>
      </c>
      <c r="C24" s="52"/>
      <c r="D24" s="52"/>
      <c r="E24" s="52"/>
      <c r="F24" s="52"/>
      <c r="G24" s="52"/>
      <c r="H24" s="52"/>
      <c r="I24" s="53"/>
    </row>
    <row r="25" spans="1:10" customFormat="1" ht="15.95" customHeight="1" x14ac:dyDescent="0.15"/>
    <row r="26" spans="1:10" s="2" customFormat="1" x14ac:dyDescent="0.15"/>
    <row r="27" spans="1:10" s="2" customFormat="1" x14ac:dyDescent="0.15"/>
    <row r="28" spans="1:10" s="2" customFormat="1" x14ac:dyDescent="0.15"/>
    <row r="29" spans="1:10" s="2" customFormat="1" x14ac:dyDescent="0.15"/>
    <row r="30" spans="1:10" s="2" customFormat="1" x14ac:dyDescent="0.15"/>
    <row r="31" spans="1:10" s="2" customFormat="1" x14ac:dyDescent="0.15"/>
  </sheetData>
  <mergeCells count="16">
    <mergeCell ref="B17:I17"/>
    <mergeCell ref="B8:I8"/>
    <mergeCell ref="A1:I1"/>
    <mergeCell ref="A15:G15"/>
    <mergeCell ref="B13:G13"/>
    <mergeCell ref="B12:G12"/>
    <mergeCell ref="B14:G14"/>
    <mergeCell ref="A13:A14"/>
    <mergeCell ref="I13:I14"/>
    <mergeCell ref="B24:I24"/>
    <mergeCell ref="B18:I18"/>
    <mergeCell ref="B19:I19"/>
    <mergeCell ref="B23:I23"/>
    <mergeCell ref="B20:I20"/>
    <mergeCell ref="B22:I22"/>
    <mergeCell ref="B21:I21"/>
  </mergeCells>
  <phoneticPr fontId="6" type="noConversion"/>
  <dataValidations count="1">
    <dataValidation allowBlank="1" showInputMessage="1" showErrorMessage="1" promptTitle="견적금액 표시" prompt="공급금액 합계(VAT별도)를 견적금액(VAT별도) 한글로 자동변환 표시" sqref="B8:B9 C9:H9"/>
  </dataValidations>
  <pageMargins left="0.31496062992125984" right="0.23622047244094491" top="0.33" bottom="0.25" header="0.26" footer="0.17"/>
  <pageSetup paperSize="9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최태영</cp:lastModifiedBy>
  <cp:lastPrinted>2016-04-20T06:23:06Z</cp:lastPrinted>
  <dcterms:created xsi:type="dcterms:W3CDTF">2001-05-22T00:47:40Z</dcterms:created>
  <dcterms:modified xsi:type="dcterms:W3CDTF">2024-01-17T07:54:39Z</dcterms:modified>
</cp:coreProperties>
</file>