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3_사이트 관리\35_무궁화신탁\1_CSR\REQ112940 - 메모 삭제 기능 개선 요청\1_견적서\"/>
    </mc:Choice>
  </mc:AlternateContent>
  <bookViews>
    <workbookView xWindow="4230" yWindow="0" windowWidth="27390" windowHeight="12765"/>
  </bookViews>
  <sheets>
    <sheet name="견적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F14" i="1"/>
  <c r="H14" i="1"/>
  <c r="H15" i="1" s="1"/>
  <c r="B10" i="1" s="1"/>
</calcChain>
</file>

<file path=xl/sharedStrings.xml><?xml version="1.0" encoding="utf-8"?>
<sst xmlns="http://schemas.openxmlformats.org/spreadsheetml/2006/main" count="45" uniqueCount="44">
  <si>
    <t>견   적   서</t>
  </si>
  <si>
    <t>견적 번호</t>
  </si>
  <si>
    <t xml:space="preserve"> 주식회사  비 즈 웰</t>
  </si>
  <si>
    <t>제  출  처</t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</si>
  <si>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</si>
  <si>
    <t>견적 일자</t>
  </si>
  <si>
    <t xml:space="preserve"> 경기 안양 동안구 학의로 282 금강펜테리움IT타워 B-1915</t>
  </si>
  <si>
    <t>유효 기간</t>
  </si>
  <si>
    <t xml:space="preserve"> 견적일로부터 2주일 이내</t>
  </si>
  <si>
    <t xml:space="preserve"> ☎ 031-425-5820   Fax) 031-450-5821</t>
  </si>
  <si>
    <t>견  적  명</t>
  </si>
  <si>
    <t>그룹웨어 양식 신규개발 및 변경개발</t>
  </si>
  <si>
    <t>견적 금액</t>
  </si>
  <si>
    <t xml:space="preserve"> 아래와 같이 견적합니다.</t>
  </si>
  <si>
    <t>(단위:원, 부가세별도)</t>
  </si>
  <si>
    <t>항 목</t>
  </si>
  <si>
    <t>내   용</t>
  </si>
  <si>
    <t>M/D</t>
  </si>
  <si>
    <t>SW노임단가</t>
  </si>
  <si>
    <t>공급 단가</t>
  </si>
  <si>
    <t>공급 금액</t>
  </si>
  <si>
    <t>비  고</t>
  </si>
  <si>
    <t>개발비</t>
  </si>
  <si>
    <t>전제 조건
및
고려사항</t>
  </si>
  <si>
    <t>- 상기 기재된 기능 외 변경 및 추가시 추가공수가 발생함.</t>
  </si>
  <si>
    <t>※ SW노임단가는 2014년 소프트웨어 기술자 노임대가 기준입니다. (제경비 110%, 기술료 30% 산정)</t>
  </si>
  <si>
    <t>※ 적용등급 : 중급</t>
  </si>
  <si>
    <t>※ 공급단가 : 작업 수행인력 외 기술지원부문(프로젝트지원팀,기술연구소 등) 반영 단가 임</t>
  </si>
  <si>
    <t>※ 투입인력 작업수행 조건 : 비상주 (상주 요구 시 재견적 필요)</t>
  </si>
  <si>
    <t>※ 공수 산정 시 주요 가정 및 기타 참고사항</t>
  </si>
  <si>
    <t xml:space="preserve"> 1) 공수의 기준은 해당 시스템의 구축을 위하여 소요되는 모든 활동을 포함됩니다.</t>
  </si>
  <si>
    <t xml:space="preserve">    - 그 예로 협의를 위한 방문지원 시간, 유선상의 연락 및 확인시간 등 일련의 모든 활동</t>
  </si>
  <si>
    <t xml:space="preserve">    - 단, 산출물 작성 위한 공수는 별도 </t>
  </si>
  <si>
    <t xml:space="preserve"> 2) 공수산정 기준은 다음과 같습니다. (실제 투입 공수는 변경될 수 있음)</t>
  </si>
  <si>
    <t xml:space="preserve">    - 8MH = 1MD,  20MD = 1MM</t>
  </si>
  <si>
    <t xml:space="preserve"> 3) 견적 유효기간 내에 개발진행 확정시 세부 개발일정에 대한 협의가 이루어집니다.</t>
  </si>
  <si>
    <t xml:space="preserve"> 4) 개발 소요기간은 산정된 작업공수와 동일하지 않습니다. (별도 협의 필요)</t>
  </si>
  <si>
    <t>영업문의</t>
  </si>
  <si>
    <t>운영지원부문 김형준 이사 (kimhj@bizwell.net) / 070 - 4616 - 5049 / 010 - 6565 - 9047</t>
  </si>
  <si>
    <t xml:space="preserve"> 2024-무궁화신탁-D01</t>
    <phoneticPr fontId="22" type="noConversion"/>
  </si>
  <si>
    <t>무궁화신탁 귀중</t>
    <phoneticPr fontId="22" type="noConversion"/>
  </si>
  <si>
    <t xml:space="preserve"> 2024. 06. 21.</t>
    <phoneticPr fontId="22" type="noConversion"/>
  </si>
  <si>
    <t>참  조</t>
    <phoneticPr fontId="22" type="noConversion"/>
  </si>
  <si>
    <t>- 전자결재 메모 기능 개선
  1. 그룹웨어 웹
    : 메모를 작성후 삭제할 수 없도록 기능 수정.
    : 메모 삭제기능 관련해 경고문구 추가.
  2. 그룹웨어 모바일
    : 메모를 삭제할 수 없는 현행 유지.
    : 메모에 삽입된 'x' 표시 없애기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</si>
</sst>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3"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MS Sans Serif"/>
      <family val="2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3">
    <xf numFmtId="0" fontId="0" fillId="0" borderId="0" xfId="0">
      <alignment vertical="center"/>
    </xf>
    <xf numFmtId="0" fontId="4" fillId="0" borderId="0" xfId="1" applyFont="1"/>
    <xf numFmtId="0" fontId="5" fillId="0" borderId="0" xfId="1" applyFont="1"/>
    <xf numFmtId="0" fontId="7" fillId="0" borderId="0" xfId="3" applyFont="1" applyFill="1" applyAlignment="1" applyProtection="1">
      <alignment horizontal="centerContinuous" vertical="center"/>
      <protection locked="0"/>
    </xf>
    <xf numFmtId="0" fontId="7" fillId="0" borderId="0" xfId="3" applyFont="1" applyFill="1" applyAlignment="1">
      <alignment horizontal="centerContinuous" vertical="center"/>
    </xf>
    <xf numFmtId="41" fontId="7" fillId="0" borderId="0" xfId="3" applyNumberFormat="1" applyFont="1" applyFill="1" applyAlignment="1">
      <alignment horizontal="centerContinuous" vertical="center"/>
    </xf>
    <xf numFmtId="41" fontId="8" fillId="0" borderId="0" xfId="3" applyNumberFormat="1" applyFont="1" applyAlignment="1">
      <alignment horizontal="center" vertical="center"/>
    </xf>
    <xf numFmtId="49" fontId="8" fillId="0" borderId="0" xfId="3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3" applyFont="1" applyAlignment="1">
      <alignment horizontal="left" vertical="center"/>
    </xf>
    <xf numFmtId="0" fontId="8" fillId="0" borderId="0" xfId="3" applyFont="1" applyAlignment="1">
      <alignment horizontal="center" vertical="center"/>
    </xf>
    <xf numFmtId="0" fontId="10" fillId="2" borderId="1" xfId="2" applyNumberFormat="1" applyFont="1" applyFill="1" applyBorder="1" applyAlignment="1" applyProtection="1">
      <alignment vertical="center"/>
    </xf>
    <xf numFmtId="0" fontId="11" fillId="2" borderId="2" xfId="2" applyNumberFormat="1" applyFont="1" applyFill="1" applyBorder="1" applyAlignment="1" applyProtection="1">
      <alignment vertical="center"/>
    </xf>
    <xf numFmtId="49" fontId="8" fillId="0" borderId="3" xfId="3" applyNumberFormat="1" applyFont="1" applyBorder="1" applyAlignment="1">
      <alignment vertical="center"/>
    </xf>
    <xf numFmtId="41" fontId="8" fillId="0" borderId="0" xfId="3" applyNumberFormat="1" applyFont="1" applyAlignment="1">
      <alignment horizontal="center"/>
    </xf>
    <xf numFmtId="0" fontId="12" fillId="0" borderId="0" xfId="1" applyFont="1" applyAlignment="1">
      <alignment horizontal="right" vertical="center"/>
    </xf>
    <xf numFmtId="0" fontId="8" fillId="4" borderId="1" xfId="3" applyFont="1" applyFill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8" fillId="4" borderId="6" xfId="3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/>
    </xf>
    <xf numFmtId="0" fontId="12" fillId="4" borderId="5" xfId="3" applyFont="1" applyFill="1" applyBorder="1" applyAlignment="1">
      <alignment horizontal="center" vertical="center"/>
    </xf>
    <xf numFmtId="41" fontId="12" fillId="4" borderId="5" xfId="2" applyNumberFormat="1" applyFont="1" applyFill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49" fontId="8" fillId="0" borderId="0" xfId="3" applyNumberFormat="1" applyFont="1" applyBorder="1" applyAlignment="1">
      <alignment vertical="center"/>
    </xf>
    <xf numFmtId="0" fontId="9" fillId="0" borderId="0" xfId="3" applyFont="1" applyAlignment="1">
      <alignment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49" fontId="9" fillId="0" borderId="6" xfId="3" applyNumberFormat="1" applyFont="1" applyBorder="1" applyAlignment="1">
      <alignment vertical="center"/>
    </xf>
    <xf numFmtId="41" fontId="8" fillId="0" borderId="12" xfId="3" applyNumberFormat="1" applyFont="1" applyBorder="1" applyAlignment="1">
      <alignment horizontal="center" vertical="center"/>
    </xf>
    <xf numFmtId="0" fontId="6" fillId="0" borderId="13" xfId="1" applyFont="1" applyBorder="1" applyAlignment="1">
      <alignment vertical="center"/>
    </xf>
    <xf numFmtId="49" fontId="9" fillId="0" borderId="7" xfId="3" applyNumberFormat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49" fontId="8" fillId="0" borderId="9" xfId="3" applyNumberFormat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49" fontId="18" fillId="0" borderId="7" xfId="3" applyNumberFormat="1" applyFont="1" applyBorder="1" applyAlignment="1">
      <alignment vertical="center"/>
    </xf>
    <xf numFmtId="49" fontId="9" fillId="0" borderId="8" xfId="3" applyNumberFormat="1" applyFont="1" applyBorder="1" applyAlignment="1">
      <alignment vertical="center"/>
    </xf>
    <xf numFmtId="41" fontId="19" fillId="5" borderId="4" xfId="3" applyNumberFormat="1" applyFont="1" applyFill="1" applyBorder="1" applyAlignment="1">
      <alignment horizontal="center" vertical="center"/>
    </xf>
    <xf numFmtId="9" fontId="19" fillId="5" borderId="4" xfId="3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20" fillId="0" borderId="0" xfId="1" applyFont="1" applyBorder="1"/>
    <xf numFmtId="0" fontId="20" fillId="0" borderId="11" xfId="1" applyFont="1" applyBorder="1"/>
    <xf numFmtId="176" fontId="19" fillId="5" borderId="4" xfId="2" applyNumberFormat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176" fontId="12" fillId="0" borderId="5" xfId="2" applyNumberFormat="1" applyFont="1" applyFill="1" applyBorder="1" applyAlignment="1">
      <alignment horizontal="center" vertical="center"/>
    </xf>
    <xf numFmtId="41" fontId="12" fillId="0" borderId="5" xfId="2" applyFont="1" applyFill="1" applyBorder="1" applyAlignment="1">
      <alignment horizontal="center" vertical="center"/>
    </xf>
    <xf numFmtId="41" fontId="12" fillId="0" borderId="5" xfId="2" applyNumberFormat="1" applyFont="1" applyFill="1" applyBorder="1" applyAlignment="1">
      <alignment horizontal="center" vertical="center"/>
    </xf>
    <xf numFmtId="9" fontId="21" fillId="0" borderId="5" xfId="3" quotePrefix="1" applyNumberFormat="1" applyFont="1" applyFill="1" applyBorder="1" applyAlignment="1">
      <alignment horizontal="left" vertical="center" wrapText="1"/>
    </xf>
    <xf numFmtId="0" fontId="12" fillId="0" borderId="1" xfId="1" quotePrefix="1" applyFont="1" applyFill="1" applyBorder="1" applyAlignment="1">
      <alignment horizontal="left" vertical="center" wrapText="1"/>
    </xf>
    <xf numFmtId="0" fontId="12" fillId="0" borderId="2" xfId="1" quotePrefix="1" applyFont="1" applyFill="1" applyBorder="1" applyAlignment="1">
      <alignment horizontal="left" vertical="center" wrapText="1"/>
    </xf>
    <xf numFmtId="0" fontId="12" fillId="0" borderId="3" xfId="1" quotePrefix="1" applyFont="1" applyFill="1" applyBorder="1" applyAlignment="1">
      <alignment horizontal="left" vertical="center" wrapText="1"/>
    </xf>
    <xf numFmtId="0" fontId="13" fillId="3" borderId="0" xfId="3" applyFont="1" applyFill="1" applyAlignment="1" applyProtection="1">
      <alignment horizontal="center" vertical="center"/>
      <protection locked="0"/>
    </xf>
    <xf numFmtId="0" fontId="12" fillId="4" borderId="1" xfId="3" applyFont="1" applyFill="1" applyBorder="1" applyAlignment="1">
      <alignment horizontal="center" vertical="center"/>
    </xf>
    <xf numFmtId="0" fontId="12" fillId="4" borderId="2" xfId="3" applyFont="1" applyFill="1" applyBorder="1" applyAlignment="1">
      <alignment horizontal="center" vertical="center"/>
    </xf>
    <xf numFmtId="0" fontId="12" fillId="4" borderId="3" xfId="3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/>
    </xf>
    <xf numFmtId="0" fontId="19" fillId="5" borderId="2" xfId="1" applyFont="1" applyFill="1" applyBorder="1" applyAlignment="1">
      <alignment horizontal="center" vertical="center"/>
    </xf>
    <xf numFmtId="0" fontId="19" fillId="5" borderId="3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6" xfId="1" applyFont="1" applyFill="1" applyBorder="1" applyAlignment="1">
      <alignment horizontal="left" vertical="center"/>
    </xf>
    <xf numFmtId="0" fontId="9" fillId="0" borderId="12" xfId="1" applyFont="1" applyFill="1" applyBorder="1" applyAlignment="1">
      <alignment horizontal="left" vertical="center"/>
    </xf>
    <xf numFmtId="0" fontId="9" fillId="0" borderId="13" xfId="1" applyFont="1" applyFill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1" fillId="0" borderId="0" xfId="1" applyBorder="1"/>
    <xf numFmtId="0" fontId="1" fillId="0" borderId="11" xfId="1" applyBorder="1"/>
    <xf numFmtId="0" fontId="9" fillId="0" borderId="6" xfId="1" quotePrefix="1" applyFont="1" applyFill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/>
    </xf>
    <xf numFmtId="0" fontId="20" fillId="0" borderId="0" xfId="1" applyFont="1" applyBorder="1"/>
    <xf numFmtId="0" fontId="20" fillId="0" borderId="11" xfId="1" applyFont="1" applyBorder="1"/>
  </cellXfs>
  <cellStyles count="12">
    <cellStyle name="쉼표 [0] 2" xfId="2"/>
    <cellStyle name="스타일 1" xfId="8"/>
    <cellStyle name="표준" xfId="0" builtinId="0"/>
    <cellStyle name="표준 2" xfId="4"/>
    <cellStyle name="표준 2 2" xfId="7"/>
    <cellStyle name="표준 3" xfId="5"/>
    <cellStyle name="표준 4" xfId="6"/>
    <cellStyle name="표준 5" xfId="9"/>
    <cellStyle name="표준 6" xfId="10"/>
    <cellStyle name="표준 7" xfId="11"/>
    <cellStyle name="표준 8" xfId="1"/>
    <cellStyle name="표준_제출용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/>
  </sheetViews>
  <sheetFormatPr defaultRowHeight="13.5"/>
  <cols>
    <col min="1" max="1" width="15.42578125" customWidth="1"/>
    <col min="2" max="2" width="16.7109375" customWidth="1"/>
    <col min="3" max="3" width="18" customWidth="1"/>
    <col min="4" max="4" width="23.5703125" customWidth="1"/>
    <col min="5" max="5" width="13" customWidth="1"/>
    <col min="6" max="7" width="12.42578125" customWidth="1"/>
    <col min="8" max="8" width="12.7109375" customWidth="1"/>
    <col min="9" max="9" width="18.85546875" customWidth="1"/>
  </cols>
  <sheetData>
    <row r="1" spans="1:9" ht="18.75">
      <c r="A1" s="1"/>
      <c r="B1" s="2"/>
      <c r="C1" s="2"/>
      <c r="D1" s="2"/>
      <c r="E1" s="2"/>
      <c r="F1" s="2"/>
      <c r="G1" s="2"/>
      <c r="H1" s="2"/>
      <c r="I1" s="2"/>
    </row>
    <row r="2" spans="1:9" ht="34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</row>
    <row r="3" spans="1:9" ht="31.5">
      <c r="A3" s="3"/>
      <c r="B3" s="4"/>
      <c r="C3" s="4"/>
      <c r="D3" s="4"/>
      <c r="E3" s="5"/>
      <c r="F3" s="5"/>
      <c r="G3" s="5"/>
      <c r="H3" s="5"/>
      <c r="I3" s="5"/>
    </row>
    <row r="4" spans="1:9" ht="18" customHeight="1">
      <c r="A4" s="16" t="s">
        <v>1</v>
      </c>
      <c r="B4" s="18" t="s">
        <v>39</v>
      </c>
      <c r="C4" s="17"/>
      <c r="D4" s="23"/>
      <c r="E4" s="28" t="s">
        <v>2</v>
      </c>
      <c r="F4" s="29"/>
      <c r="G4" s="29"/>
      <c r="H4" s="29"/>
      <c r="I4" s="30"/>
    </row>
    <row r="5" spans="1:9" ht="18" customHeight="1">
      <c r="A5" s="16" t="s">
        <v>3</v>
      </c>
      <c r="B5" s="18" t="s">
        <v>40</v>
      </c>
      <c r="C5" s="17"/>
      <c r="D5" s="23"/>
      <c r="E5" s="31" t="s">
        <v>4</v>
      </c>
      <c r="F5" s="24"/>
      <c r="G5" s="24"/>
      <c r="H5" s="24"/>
      <c r="I5" s="32"/>
    </row>
    <row r="6" spans="1:9" ht="18" customHeight="1">
      <c r="A6" s="16" t="s">
        <v>5</v>
      </c>
      <c r="B6" s="18" t="s">
        <v>41</v>
      </c>
      <c r="C6" s="17"/>
      <c r="D6" s="23"/>
      <c r="E6" s="35" t="s">
        <v>6</v>
      </c>
      <c r="F6" s="24"/>
      <c r="G6" s="24"/>
      <c r="H6" s="24"/>
      <c r="I6" s="32"/>
    </row>
    <row r="7" spans="1:9" ht="18" customHeight="1">
      <c r="A7" s="16" t="s">
        <v>7</v>
      </c>
      <c r="B7" s="18" t="s">
        <v>8</v>
      </c>
      <c r="C7" s="17"/>
      <c r="D7" s="23"/>
      <c r="E7" s="36" t="s">
        <v>9</v>
      </c>
      <c r="F7" s="33"/>
      <c r="G7" s="33"/>
      <c r="H7" s="33"/>
      <c r="I7" s="34"/>
    </row>
    <row r="8" spans="1:9">
      <c r="A8" s="8"/>
      <c r="B8" s="9"/>
      <c r="C8" s="10"/>
      <c r="D8" s="10"/>
      <c r="E8" s="8"/>
      <c r="F8" s="8"/>
      <c r="G8" s="8"/>
      <c r="H8" s="7"/>
      <c r="I8" s="7"/>
    </row>
    <row r="9" spans="1:9" ht="16.5" customHeight="1">
      <c r="A9" s="19" t="s">
        <v>10</v>
      </c>
      <c r="B9" s="11" t="s">
        <v>11</v>
      </c>
      <c r="C9" s="12"/>
      <c r="D9" s="12"/>
      <c r="E9" s="12"/>
      <c r="F9" s="12"/>
      <c r="G9" s="12"/>
      <c r="H9" s="12"/>
      <c r="I9" s="13"/>
    </row>
    <row r="10" spans="1:9" ht="16.5" customHeight="1">
      <c r="A10" s="20" t="s">
        <v>12</v>
      </c>
      <c r="B10" s="11" t="str">
        <f>TEXT(H15," 일금[DBNum4][$-412]G/표준원정") &amp; " (" &amp; DOLLAR(H15) &amp; " 부가세별도)"</f>
        <v xml:space="preserve"> 일금오십만원정 (₩500,000 부가세별도)</v>
      </c>
      <c r="C10" s="12"/>
      <c r="D10" s="12"/>
      <c r="E10" s="12"/>
      <c r="F10" s="12"/>
      <c r="G10" s="12"/>
      <c r="H10" s="12"/>
      <c r="I10" s="13"/>
    </row>
    <row r="11" spans="1:9">
      <c r="A11" s="25"/>
      <c r="B11" s="10"/>
      <c r="C11" s="10"/>
      <c r="D11" s="10"/>
      <c r="E11" s="6"/>
      <c r="F11" s="6"/>
      <c r="G11" s="6"/>
      <c r="H11" s="14"/>
      <c r="I11" s="15"/>
    </row>
    <row r="12" spans="1:9">
      <c r="A12" s="25" t="s">
        <v>13</v>
      </c>
      <c r="B12" s="10"/>
      <c r="C12" s="10"/>
      <c r="D12" s="10"/>
      <c r="E12" s="6"/>
      <c r="F12" s="6"/>
      <c r="G12" s="6"/>
      <c r="H12" s="14"/>
      <c r="I12" s="15" t="s">
        <v>14</v>
      </c>
    </row>
    <row r="13" spans="1:9">
      <c r="A13" s="21" t="s">
        <v>15</v>
      </c>
      <c r="B13" s="54" t="s">
        <v>16</v>
      </c>
      <c r="C13" s="55"/>
      <c r="D13" s="56"/>
      <c r="E13" s="22" t="s">
        <v>17</v>
      </c>
      <c r="F13" s="22" t="s">
        <v>18</v>
      </c>
      <c r="G13" s="22" t="s">
        <v>19</v>
      </c>
      <c r="H13" s="22" t="s">
        <v>20</v>
      </c>
      <c r="I13" s="22" t="s">
        <v>21</v>
      </c>
    </row>
    <row r="14" spans="1:9" ht="117.75" customHeight="1">
      <c r="A14" s="45" t="s">
        <v>22</v>
      </c>
      <c r="B14" s="50" t="s">
        <v>43</v>
      </c>
      <c r="C14" s="51"/>
      <c r="D14" s="52"/>
      <c r="E14" s="46">
        <v>1</v>
      </c>
      <c r="F14" s="47">
        <f>604342.83</f>
        <v>604342.82999999996</v>
      </c>
      <c r="G14" s="47">
        <v>500000</v>
      </c>
      <c r="H14" s="48">
        <f>SUM(E14:E14)*G14</f>
        <v>500000</v>
      </c>
      <c r="I14" s="49"/>
    </row>
    <row r="15" spans="1:9">
      <c r="A15" s="57" t="s">
        <v>12</v>
      </c>
      <c r="B15" s="58"/>
      <c r="C15" s="58"/>
      <c r="D15" s="59"/>
      <c r="E15" s="42" t="str">
        <f>SUM(E14:E14)&amp;"MD"</f>
        <v>1MD</v>
      </c>
      <c r="F15" s="37"/>
      <c r="G15" s="37"/>
      <c r="H15" s="37">
        <f>SUM(H14:H14)</f>
        <v>500000</v>
      </c>
      <c r="I15" s="38"/>
    </row>
    <row r="16" spans="1:9">
      <c r="A16" s="25"/>
      <c r="B16" s="10"/>
      <c r="C16" s="10"/>
      <c r="D16" s="10"/>
      <c r="E16" s="6"/>
      <c r="F16" s="6"/>
      <c r="G16" s="6"/>
      <c r="H16" s="14"/>
      <c r="I16" s="15"/>
    </row>
    <row r="17" spans="1:9" ht="40.5">
      <c r="A17" s="43" t="s">
        <v>23</v>
      </c>
      <c r="B17" s="69" t="s">
        <v>24</v>
      </c>
      <c r="C17" s="64"/>
      <c r="D17" s="64"/>
      <c r="E17" s="64"/>
      <c r="F17" s="64"/>
      <c r="G17" s="64"/>
      <c r="H17" s="64"/>
      <c r="I17" s="65"/>
    </row>
    <row r="18" spans="1:9" ht="15" customHeight="1">
      <c r="A18" s="26" t="s">
        <v>42</v>
      </c>
      <c r="B18" s="63" t="s">
        <v>25</v>
      </c>
      <c r="C18" s="64"/>
      <c r="D18" s="64"/>
      <c r="E18" s="64"/>
      <c r="F18" s="64"/>
      <c r="G18" s="64"/>
      <c r="H18" s="64"/>
      <c r="I18" s="65"/>
    </row>
    <row r="19" spans="1:9" ht="15" customHeight="1">
      <c r="A19" s="27"/>
      <c r="B19" s="66" t="s">
        <v>26</v>
      </c>
      <c r="C19" s="67"/>
      <c r="D19" s="67"/>
      <c r="E19" s="67"/>
      <c r="F19" s="67"/>
      <c r="G19" s="67"/>
      <c r="H19" s="67"/>
      <c r="I19" s="68"/>
    </row>
    <row r="20" spans="1:9" ht="15" customHeight="1">
      <c r="A20" s="27"/>
      <c r="B20" s="66" t="s">
        <v>27</v>
      </c>
      <c r="C20" s="67"/>
      <c r="D20" s="67"/>
      <c r="E20" s="67"/>
      <c r="F20" s="67"/>
      <c r="G20" s="67"/>
      <c r="H20" s="67"/>
      <c r="I20" s="68"/>
    </row>
    <row r="21" spans="1:9" ht="15" customHeight="1">
      <c r="A21" s="27"/>
      <c r="B21" s="70" t="s">
        <v>28</v>
      </c>
      <c r="C21" s="71"/>
      <c r="D21" s="71"/>
      <c r="E21" s="71"/>
      <c r="F21" s="71"/>
      <c r="G21" s="71"/>
      <c r="H21" s="71"/>
      <c r="I21" s="72"/>
    </row>
    <row r="22" spans="1:9" ht="15" customHeight="1">
      <c r="A22" s="27"/>
      <c r="B22" s="66" t="s">
        <v>29</v>
      </c>
      <c r="C22" s="67"/>
      <c r="D22" s="67"/>
      <c r="E22" s="67"/>
      <c r="F22" s="67"/>
      <c r="G22" s="67"/>
      <c r="H22" s="67"/>
      <c r="I22" s="68"/>
    </row>
    <row r="23" spans="1:9" ht="15" customHeight="1">
      <c r="A23" s="27"/>
      <c r="B23" s="70" t="s">
        <v>30</v>
      </c>
      <c r="C23" s="71"/>
      <c r="D23" s="71"/>
      <c r="E23" s="71"/>
      <c r="F23" s="71"/>
      <c r="G23" s="71"/>
      <c r="H23" s="71"/>
      <c r="I23" s="72"/>
    </row>
    <row r="24" spans="1:9" ht="15" customHeight="1">
      <c r="A24" s="27"/>
      <c r="B24" s="70" t="s">
        <v>31</v>
      </c>
      <c r="C24" s="71"/>
      <c r="D24" s="71"/>
      <c r="E24" s="71"/>
      <c r="F24" s="71"/>
      <c r="G24" s="71"/>
      <c r="H24" s="71"/>
      <c r="I24" s="72"/>
    </row>
    <row r="25" spans="1:9" ht="15" customHeight="1">
      <c r="A25" s="27"/>
      <c r="B25" s="39" t="s">
        <v>32</v>
      </c>
      <c r="C25" s="40"/>
      <c r="D25" s="40"/>
      <c r="E25" s="40"/>
      <c r="F25" s="40"/>
      <c r="G25" s="40"/>
      <c r="H25" s="40"/>
      <c r="I25" s="41"/>
    </row>
    <row r="26" spans="1:9" ht="15" customHeight="1">
      <c r="A26" s="27"/>
      <c r="B26" s="66" t="s">
        <v>33</v>
      </c>
      <c r="C26" s="67"/>
      <c r="D26" s="67"/>
      <c r="E26" s="67"/>
      <c r="F26" s="67"/>
      <c r="G26" s="67"/>
      <c r="H26" s="67"/>
      <c r="I26" s="68"/>
    </row>
    <row r="27" spans="1:9" ht="15" customHeight="1">
      <c r="A27" s="27"/>
      <c r="B27" s="66" t="s">
        <v>34</v>
      </c>
      <c r="C27" s="67"/>
      <c r="D27" s="67"/>
      <c r="E27" s="67"/>
      <c r="F27" s="67"/>
      <c r="G27" s="67"/>
      <c r="H27" s="67"/>
      <c r="I27" s="68"/>
    </row>
    <row r="28" spans="1:9" ht="15" customHeight="1">
      <c r="A28" s="27"/>
      <c r="B28" s="66" t="s">
        <v>35</v>
      </c>
      <c r="C28" s="67"/>
      <c r="D28" s="67"/>
      <c r="E28" s="67"/>
      <c r="F28" s="67"/>
      <c r="G28" s="67"/>
      <c r="H28" s="67"/>
      <c r="I28" s="68"/>
    </row>
    <row r="29" spans="1:9" ht="15" customHeight="1">
      <c r="A29" s="27"/>
      <c r="B29" s="66" t="s">
        <v>36</v>
      </c>
      <c r="C29" s="67"/>
      <c r="D29" s="67"/>
      <c r="E29" s="67"/>
      <c r="F29" s="67"/>
      <c r="G29" s="67"/>
      <c r="H29" s="67"/>
      <c r="I29" s="68"/>
    </row>
    <row r="30" spans="1:9" ht="15.75" customHeight="1">
      <c r="A30" s="44" t="s">
        <v>37</v>
      </c>
      <c r="B30" s="60" t="s">
        <v>38</v>
      </c>
      <c r="C30" s="61"/>
      <c r="D30" s="61"/>
      <c r="E30" s="61"/>
      <c r="F30" s="61"/>
      <c r="G30" s="61"/>
      <c r="H30" s="61"/>
      <c r="I30" s="62"/>
    </row>
  </sheetData>
  <mergeCells count="17">
    <mergeCell ref="B26:I26"/>
    <mergeCell ref="B14:D14"/>
    <mergeCell ref="A2:I2"/>
    <mergeCell ref="B13:D13"/>
    <mergeCell ref="A15:D15"/>
    <mergeCell ref="B30:I30"/>
    <mergeCell ref="B18:I18"/>
    <mergeCell ref="B19:I19"/>
    <mergeCell ref="B29:I29"/>
    <mergeCell ref="B17:I17"/>
    <mergeCell ref="B20:I20"/>
    <mergeCell ref="B21:I21"/>
    <mergeCell ref="B28:I28"/>
    <mergeCell ref="B22:I22"/>
    <mergeCell ref="B27:I27"/>
    <mergeCell ref="B23:I23"/>
    <mergeCell ref="B24:I24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bizwell</dc:creator>
  <cp:lastModifiedBy>bizwell</cp:lastModifiedBy>
  <dcterms:created xsi:type="dcterms:W3CDTF">2024-06-21T04:51:06Z</dcterms:created>
  <dcterms:modified xsi:type="dcterms:W3CDTF">2024-06-21T05:34:38Z</dcterms:modified>
</cp:coreProperties>
</file>