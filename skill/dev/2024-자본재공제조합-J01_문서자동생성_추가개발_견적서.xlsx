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99.download\"/>
    </mc:Choice>
  </mc:AlternateContent>
  <bookViews>
    <workbookView xWindow="0" yWindow="0" windowWidth="28800" windowHeight="11880"/>
  </bookViews>
  <sheets>
    <sheet name="견적서" sheetId="2" r:id="rId1"/>
  </sheets>
  <definedNames>
    <definedName name="_xlnm.Print_Area" localSheetId="0">견적서!$A$1:$I$33</definedName>
  </definedNames>
  <calcPr calcId="152511"/>
</workbook>
</file>

<file path=xl/calcChain.xml><?xml version="1.0" encoding="utf-8"?>
<calcChain xmlns="http://schemas.openxmlformats.org/spreadsheetml/2006/main">
  <c r="H14" i="2" l="1"/>
  <c r="E17" i="2"/>
  <c r="F14" i="2" l="1"/>
  <c r="H16" i="2" l="1"/>
  <c r="B10" i="2" l="1"/>
  <c r="H17" i="2"/>
</calcChain>
</file>

<file path=xl/sharedStrings.xml><?xml version="1.0" encoding="utf-8"?>
<sst xmlns="http://schemas.openxmlformats.org/spreadsheetml/2006/main" count="47" uniqueCount="47">
  <si>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</si>
  <si>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</si>
  <si>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</si>
  <si>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</si>
  <si>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</si>
  <si>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</si>
  <si>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</si>
  <si>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</si>
  <si>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</si>
  <si>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</si>
  <si>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</si>
  <si>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t>참  조</t>
    <phoneticPr fontId="6" type="noConversion"/>
  </si>
  <si>
    <t>영업 문의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</si>
  <si>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</si>
  <si>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>견   적   서</t>
    <phoneticPr fontId="8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</si>
  <si>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</si>
  <si>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</si>
  <si>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</si>
  <si>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</si>
  <si>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</si>
  <si>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</si>
  <si>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</si>
  <si>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SW노임단가는 2014년 소프트웨어 기술자 노임대가 기준입니다. (제경비 110%, 기술료 30% 산정)</t>
    <phoneticPr fontId="6" type="noConversion"/>
  </si>
  <si>
    <t>※ 적용등급 : 중급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</si>
  <si>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</si>
  <si>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</si>
  <si>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</si>
  <si>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</si>
  <si>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</si>
  <si>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</si>
  <si>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</si>
  <si>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>비  고</t>
    <phoneticPr fontId="6" type="noConversion"/>
  </si>
  <si>
    <t xml:space="preserve">    - 8MH = 1MD,  20MD = 1MM</t>
    <phoneticPr fontId="6" type="noConversion"/>
  </si>
  <si>
    <t>견적 금액</t>
    <phoneticPr fontId="6" type="noConversion"/>
  </si>
  <si>
    <t>M/D</t>
    <phoneticPr fontId="6" type="noConversion"/>
  </si>
  <si>
    <t>개발비</t>
    <phoneticPr fontId="6" type="noConversion"/>
  </si>
  <si>
    <t xml:space="preserve"> 운영지원부문  김형준이사 (kimhj@bizwell.net)  /  070-4616-5049  /  010-6565-9047</t>
    <phoneticPr fontId="6" type="noConversion"/>
  </si>
  <si>
    <t>합  계</t>
    <phoneticPr fontId="6" type="noConversion"/>
  </si>
  <si>
    <t xml:space="preserve"> 견적일로부터 1개월</t>
    <phoneticPr fontId="6" type="noConversion"/>
  </si>
  <si>
    <t xml:space="preserve"> 자본재공제조합 귀중</t>
    <phoneticPr fontId="6" type="noConversion"/>
  </si>
  <si>
    <t>자본재공제조합 ERP연동 문서생성 개발</t>
    <phoneticPr fontId="6" type="noConversion"/>
  </si>
  <si>
    <t>10M/D</t>
    <phoneticPr fontId="6" type="noConversion"/>
  </si>
  <si>
    <t xml:space="preserve"> 2024-06-26</t>
    <phoneticPr fontId="6" type="noConversion"/>
  </si>
  <si>
    <t>전제 조건
및
고려사항</t>
    <phoneticPr fontId="6" type="noConversion"/>
  </si>
  <si>
    <t>- 상기 기재된 기능 외 변경 및 추가시 추가공수가 발생함</t>
    <phoneticPr fontId="6" type="noConversion"/>
  </si>
  <si>
    <t>ERP연동 문서생성 개발 
  -별도 결재 액션은 따로 취하지 않으며, 아래 내용으로 문서를 생성
  -  보증신청 -&gt; 보증료 입금 -&gt; 발급 -&gt; 전자결재 호출
    1. 결재문서 생성에 필요한 기본적인 데이타는 기간계에서 생성
        1-1. 기안자 및 결재자 정보(결재선)
            . 사번,  부서,  직위 직책 등
        1-2. 문서 제목, 문서 내용(HTML 형식) 
    2. 문서번호는 채번하지 않음.
    3. 해당 문서는  기안자 부서의 기본 보관함에 저장 
         - 기안자, 결재자의 완료 문서함
    4. 문서수정 불가 (삭제 후 재기안)</t>
    <phoneticPr fontId="6" type="noConversion"/>
  </si>
  <si>
    <t xml:space="preserve"> 2024-자본재공제조합-J01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</si>
</sst>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5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Fill="1" applyAlignment="1" applyProtection="1">
      <alignment horizontal="centerContinuous" vertical="center"/>
      <protection locked="0"/>
    </xf>
    <xf numFmtId="0" fontId="14" fillId="0" borderId="0" xfId="2" applyFont="1" applyFill="1" applyAlignment="1">
      <alignment horizontal="centerContinuous" vertical="center"/>
    </xf>
    <xf numFmtId="41" fontId="14" fillId="0" borderId="0" xfId="2" applyNumberFormat="1" applyFont="1" applyFill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7" fillId="2" borderId="1" xfId="1" applyNumberFormat="1" applyFont="1" applyFill="1" applyBorder="1" applyAlignment="1" applyProtection="1">
      <alignment vertical="center"/>
    </xf>
    <xf numFmtId="0" fontId="18" fillId="2" borderId="2" xfId="1" applyNumberFormat="1" applyFont="1" applyFill="1" applyBorder="1" applyAlignment="1" applyProtection="1">
      <alignment vertical="center"/>
    </xf>
    <xf numFmtId="49" fontId="15" fillId="0" borderId="3" xfId="2" applyNumberFormat="1" applyFont="1" applyBorder="1" applyAlignment="1">
      <alignment vertical="center"/>
    </xf>
    <xf numFmtId="41" fontId="15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4" borderId="6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9" fillId="4" borderId="5" xfId="2" applyFont="1" applyFill="1" applyBorder="1" applyAlignment="1">
      <alignment horizontal="center" vertical="center"/>
    </xf>
    <xf numFmtId="41" fontId="19" fillId="4" borderId="5" xfId="1" applyNumberFormat="1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49" fontId="15" fillId="0" borderId="0" xfId="2" applyNumberFormat="1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1" fontId="11" fillId="0" borderId="0" xfId="0" applyNumberFormat="1" applyFont="1" applyAlignment="1">
      <alignment vertical="center"/>
    </xf>
    <xf numFmtId="49" fontId="16" fillId="0" borderId="6" xfId="2" applyNumberFormat="1" applyFont="1" applyBorder="1" applyAlignment="1">
      <alignment vertical="center"/>
    </xf>
    <xf numFmtId="41" fontId="15" fillId="0" borderId="12" xfId="2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49" fontId="16" fillId="0" borderId="7" xfId="2" applyNumberFormat="1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5" fillId="0" borderId="9" xfId="2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25" fillId="0" borderId="7" xfId="2" applyNumberFormat="1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41" fontId="26" fillId="5" borderId="4" xfId="2" applyNumberFormat="1" applyFont="1" applyFill="1" applyBorder="1" applyAlignment="1">
      <alignment horizontal="center" vertical="center"/>
    </xf>
    <xf numFmtId="9" fontId="26" fillId="5" borderId="4" xfId="2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176" fontId="26" fillId="5" borderId="4" xfId="1" applyNumberFormat="1" applyFont="1" applyFill="1" applyBorder="1" applyAlignment="1">
      <alignment horizontal="center" vertical="center"/>
    </xf>
    <xf numFmtId="14" fontId="16" fillId="0" borderId="1" xfId="2" applyNumberFormat="1" applyFont="1" applyBorder="1" applyAlignment="1">
      <alignment horizontal="left" vertical="center"/>
    </xf>
    <xf numFmtId="0" fontId="20" fillId="3" borderId="0" xfId="2" applyFont="1" applyFill="1" applyAlignment="1" applyProtection="1">
      <alignment horizontal="center" vertical="center"/>
      <protection locked="0"/>
    </xf>
    <xf numFmtId="0" fontId="19" fillId="4" borderId="1" xfId="2" applyFont="1" applyFill="1" applyBorder="1" applyAlignment="1">
      <alignment horizontal="center" vertical="center"/>
    </xf>
    <xf numFmtId="0" fontId="19" fillId="4" borderId="2" xfId="2" applyFont="1" applyFill="1" applyBorder="1" applyAlignment="1">
      <alignment horizontal="center" vertical="center"/>
    </xf>
    <xf numFmtId="0" fontId="19" fillId="4" borderId="3" xfId="2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6" xfId="0" quotePrefix="1" applyFont="1" applyFill="1" applyBorder="1" applyAlignment="1">
      <alignment horizontal="left" vertical="center" wrapText="1"/>
    </xf>
    <xf numFmtId="0" fontId="19" fillId="0" borderId="12" xfId="0" quotePrefix="1" applyFont="1" applyFill="1" applyBorder="1" applyAlignment="1">
      <alignment horizontal="left" vertical="center" wrapText="1"/>
    </xf>
    <xf numFmtId="0" fontId="19" fillId="0" borderId="13" xfId="0" quotePrefix="1" applyFont="1" applyFill="1" applyBorder="1" applyAlignment="1">
      <alignment horizontal="left" vertical="center" wrapText="1"/>
    </xf>
    <xf numFmtId="0" fontId="19" fillId="0" borderId="7" xfId="0" quotePrefix="1" applyFont="1" applyFill="1" applyBorder="1" applyAlignment="1">
      <alignment horizontal="left" vertical="center" wrapText="1"/>
    </xf>
    <xf numFmtId="0" fontId="19" fillId="0" borderId="0" xfId="0" quotePrefix="1" applyFont="1" applyFill="1" applyBorder="1" applyAlignment="1">
      <alignment horizontal="left" vertical="center" wrapText="1"/>
    </xf>
    <xf numFmtId="0" fontId="19" fillId="0" borderId="11" xfId="0" quotePrefix="1" applyFont="1" applyFill="1" applyBorder="1" applyAlignment="1">
      <alignment horizontal="left" vertical="center" wrapText="1"/>
    </xf>
    <xf numFmtId="176" fontId="19" fillId="0" borderId="5" xfId="1" applyNumberFormat="1" applyFont="1" applyFill="1" applyBorder="1" applyAlignment="1">
      <alignment horizontal="center" vertical="center"/>
    </xf>
    <xf numFmtId="176" fontId="19" fillId="0" borderId="14" xfId="1" applyNumberFormat="1" applyFont="1" applyFill="1" applyBorder="1" applyAlignment="1">
      <alignment horizontal="center" vertical="center"/>
    </xf>
    <xf numFmtId="41" fontId="19" fillId="0" borderId="5" xfId="1" applyFont="1" applyFill="1" applyBorder="1" applyAlignment="1">
      <alignment horizontal="center" vertical="center"/>
    </xf>
    <xf numFmtId="41" fontId="19" fillId="0" borderId="14" xfId="1" applyFont="1" applyFill="1" applyBorder="1" applyAlignment="1">
      <alignment horizontal="center" vertical="center"/>
    </xf>
    <xf numFmtId="41" fontId="19" fillId="0" borderId="5" xfId="1" applyNumberFormat="1" applyFont="1" applyFill="1" applyBorder="1" applyAlignment="1">
      <alignment horizontal="center" vertical="center"/>
    </xf>
    <xf numFmtId="41" fontId="19" fillId="0" borderId="14" xfId="1" applyNumberFormat="1" applyFont="1" applyFill="1" applyBorder="1" applyAlignment="1">
      <alignment horizontal="center" vertical="center"/>
    </xf>
    <xf numFmtId="9" fontId="19" fillId="0" borderId="5" xfId="2" applyNumberFormat="1" applyFont="1" applyFill="1" applyBorder="1" applyAlignment="1">
      <alignment horizontal="center" vertical="center" wrapText="1"/>
    </xf>
    <xf numFmtId="9" fontId="19" fillId="0" borderId="14" xfId="2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12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0" fontId="16" fillId="0" borderId="6" xfId="0" applyFont="1" applyBorder="1" applyAlignment="1">
      <alignment horizontal="center" vertical="center" wrapText="1"/>
    </xf>
    <xf numFmtId="0" fontId="28" fillId="0" borderId="1" xfId="0" quotePrefix="1" applyFont="1" applyFill="1" applyBorder="1" applyAlignment="1">
      <alignment horizontal="left" vertical="center" wrapText="1"/>
    </xf>
    <xf numFmtId="0" fontId="28" fillId="0" borderId="2" xfId="0" quotePrefix="1" applyFont="1" applyFill="1" applyBorder="1" applyAlignment="1">
      <alignment horizontal="left" vertical="center" wrapText="1"/>
    </xf>
    <xf numFmtId="0" fontId="28" fillId="0" borderId="3" xfId="0" quotePrefix="1" applyFont="1" applyFill="1" applyBorder="1" applyAlignment="1">
      <alignment horizontal="left" vertical="center" wrapText="1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showGridLines="0" tabSelected="1" topLeftCell="A7" zoomScaleNormal="100" workbookViewId="0">
      <selection activeCell="N7" sqref="N7"/>
    </sheetView>
  </sheetViews>
  <sheetFormatPr defaultColWidth="8.88671875" defaultRowHeight="13.5" x14ac:dyDescent="0.15"/>
  <cols>
    <col min="1" max="1" width="11.21875" style="1" customWidth="1"/>
    <col min="2" max="2" width="10.5546875" style="1" customWidth="1"/>
    <col min="3" max="3" width="20.21875" style="1" customWidth="1"/>
    <col min="4" max="4" width="13.21875" style="1" customWidth="1"/>
    <col min="5" max="5" width="8.109375" style="1" customWidth="1"/>
    <col min="6" max="6" width="9.77734375" style="1" bestFit="1" customWidth="1"/>
    <col min="7" max="7" width="9.33203125" style="1" bestFit="1" customWidth="1"/>
    <col min="8" max="8" width="10.6640625" style="1" bestFit="1" customWidth="1"/>
    <col min="9" max="9" width="24" style="1" customWidth="1"/>
    <col min="10" max="10" width="10.6640625" style="1" bestFit="1" customWidth="1"/>
    <col min="11" max="16384" width="8.886718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15">
      <c r="A2" s="53" t="s">
        <v>14</v>
      </c>
      <c r="B2" s="53"/>
      <c r="C2" s="53"/>
      <c r="D2" s="53"/>
      <c r="E2" s="53"/>
      <c r="F2" s="53"/>
      <c r="G2" s="53"/>
      <c r="H2" s="53"/>
      <c r="I2" s="53"/>
    </row>
    <row r="3" spans="1:10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15">
      <c r="A4" s="21" t="s">
        <v>5</v>
      </c>
      <c r="B4" s="23" t="s">
        <v>46</v>
      </c>
      <c r="C4" s="22"/>
      <c r="D4" s="28"/>
      <c r="E4" s="37" t="s">
        <v>4</v>
      </c>
      <c r="F4" s="38"/>
      <c r="G4" s="38"/>
      <c r="H4" s="38"/>
      <c r="I4" s="39"/>
    </row>
    <row r="5" spans="1:10" s="5" customFormat="1" ht="20.100000000000001" customHeight="1" x14ac:dyDescent="0.15">
      <c r="A5" s="21" t="s">
        <v>6</v>
      </c>
      <c r="B5" s="23" t="s">
        <v>39</v>
      </c>
      <c r="C5" s="22"/>
      <c r="D5" s="28"/>
      <c r="E5" s="40" t="s">
        <v>13</v>
      </c>
      <c r="F5" s="29"/>
      <c r="G5" s="29"/>
      <c r="H5" s="29"/>
      <c r="I5" s="41"/>
    </row>
    <row r="6" spans="1:10" s="5" customFormat="1" ht="20.100000000000001" customHeight="1" x14ac:dyDescent="0.15">
      <c r="A6" s="21" t="s">
        <v>7</v>
      </c>
      <c r="B6" s="52" t="s">
        <v>42</v>
      </c>
      <c r="C6" s="22"/>
      <c r="D6" s="28"/>
      <c r="E6" s="44" t="s">
        <v>18</v>
      </c>
      <c r="F6" s="29"/>
      <c r="G6" s="29"/>
      <c r="H6" s="29"/>
      <c r="I6" s="41"/>
    </row>
    <row r="7" spans="1:10" s="5" customFormat="1" ht="20.100000000000001" customHeight="1" x14ac:dyDescent="0.15">
      <c r="A7" s="21" t="s">
        <v>8</v>
      </c>
      <c r="B7" s="23" t="s">
        <v>38</v>
      </c>
      <c r="C7" s="22"/>
      <c r="D7" s="28"/>
      <c r="E7" s="45" t="s">
        <v>16</v>
      </c>
      <c r="F7" s="42"/>
      <c r="G7" s="42"/>
      <c r="H7" s="42"/>
      <c r="I7" s="43"/>
    </row>
    <row r="8" spans="1:10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19.5" customHeight="1" x14ac:dyDescent="0.15">
      <c r="A9" s="24" t="s">
        <v>10</v>
      </c>
      <c r="B9" s="16" t="s">
        <v>40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15">
      <c r="A10" s="25" t="s">
        <v>19</v>
      </c>
      <c r="B10" s="16" t="str">
        <f>TEXT(H16," 일금[DBNum4][$-412]G/표준원정") &amp; " (" &amp; DOLLAR(H16) &amp; " 부가세별도)"</f>
        <v xml:space="preserve"> 일금오백만원정 (₩5,000,000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25">
      <c r="A12" s="30" t="s">
        <v>15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0" s="7" customFormat="1" ht="23.25" customHeight="1" x14ac:dyDescent="0.15">
      <c r="A13" s="26" t="s">
        <v>0</v>
      </c>
      <c r="B13" s="54" t="s">
        <v>1</v>
      </c>
      <c r="C13" s="55"/>
      <c r="D13" s="56"/>
      <c r="E13" s="27" t="s">
        <v>34</v>
      </c>
      <c r="F13" s="27" t="s">
        <v>17</v>
      </c>
      <c r="G13" s="27" t="s">
        <v>2</v>
      </c>
      <c r="H13" s="27" t="s">
        <v>3</v>
      </c>
      <c r="I13" s="27" t="s">
        <v>31</v>
      </c>
    </row>
    <row r="14" spans="1:10" s="7" customFormat="1" ht="45.75" customHeight="1" x14ac:dyDescent="0.15">
      <c r="A14" s="60" t="s">
        <v>35</v>
      </c>
      <c r="B14" s="62" t="s">
        <v>45</v>
      </c>
      <c r="C14" s="63"/>
      <c r="D14" s="64"/>
      <c r="E14" s="68">
        <v>10</v>
      </c>
      <c r="F14" s="70">
        <f t="shared" ref="F14" si="0">604342.83</f>
        <v>604342.82999999996</v>
      </c>
      <c r="G14" s="70">
        <v>500000</v>
      </c>
      <c r="H14" s="72">
        <f>SUM(E14:E14)*G14</f>
        <v>5000000</v>
      </c>
      <c r="I14" s="74"/>
      <c r="J14" s="36"/>
    </row>
    <row r="15" spans="1:10" s="7" customFormat="1" ht="133.5" customHeight="1" x14ac:dyDescent="0.15">
      <c r="A15" s="61"/>
      <c r="B15" s="65"/>
      <c r="C15" s="66"/>
      <c r="D15" s="67"/>
      <c r="E15" s="69"/>
      <c r="F15" s="71"/>
      <c r="G15" s="71"/>
      <c r="H15" s="73"/>
      <c r="I15" s="75"/>
      <c r="J15" s="36"/>
    </row>
    <row r="16" spans="1:10" s="7" customFormat="1" ht="23.25" customHeight="1" x14ac:dyDescent="0.15">
      <c r="A16" s="57" t="s">
        <v>37</v>
      </c>
      <c r="B16" s="58"/>
      <c r="C16" s="58"/>
      <c r="D16" s="59"/>
      <c r="E16" s="51" t="s">
        <v>41</v>
      </c>
      <c r="F16" s="46"/>
      <c r="G16" s="46"/>
      <c r="H16" s="46">
        <f>SUM(H14:H15)</f>
        <v>5000000</v>
      </c>
      <c r="I16" s="47"/>
      <c r="J16" s="36"/>
    </row>
    <row r="17" spans="1:10" s="7" customFormat="1" ht="23.25" customHeight="1" x14ac:dyDescent="0.15">
      <c r="A17" s="57" t="s">
        <v>33</v>
      </c>
      <c r="B17" s="58"/>
      <c r="C17" s="58"/>
      <c r="D17" s="59"/>
      <c r="E17" s="51" t="str">
        <f>E16</f>
        <v>10M/D</v>
      </c>
      <c r="F17" s="46"/>
      <c r="G17" s="46"/>
      <c r="H17" s="46">
        <f>SUM(H15:H16)</f>
        <v>5000000</v>
      </c>
      <c r="I17" s="47"/>
      <c r="J17" s="36"/>
    </row>
    <row r="18" spans="1:10" s="6" customFormat="1" ht="14.25" customHeight="1" x14ac:dyDescent="0.25">
      <c r="A18" s="30"/>
      <c r="B18" s="15"/>
      <c r="C18" s="15"/>
      <c r="D18" s="15"/>
      <c r="E18" s="11"/>
      <c r="F18" s="11"/>
      <c r="G18" s="11"/>
      <c r="H18" s="19"/>
      <c r="I18" s="20"/>
    </row>
    <row r="19" spans="1:10" s="6" customFormat="1" ht="40.5" x14ac:dyDescent="0.15">
      <c r="A19" s="91" t="s">
        <v>43</v>
      </c>
      <c r="B19" s="92" t="s">
        <v>44</v>
      </c>
      <c r="C19" s="93"/>
      <c r="D19" s="93"/>
      <c r="E19" s="93"/>
      <c r="F19" s="93"/>
      <c r="G19" s="93"/>
      <c r="H19" s="93"/>
      <c r="I19" s="94"/>
    </row>
    <row r="20" spans="1:10" s="5" customFormat="1" ht="17.100000000000001" customHeight="1" x14ac:dyDescent="0.15">
      <c r="A20" s="31" t="s">
        <v>11</v>
      </c>
      <c r="B20" s="82" t="s">
        <v>22</v>
      </c>
      <c r="C20" s="83"/>
      <c r="D20" s="83"/>
      <c r="E20" s="83"/>
      <c r="F20" s="83"/>
      <c r="G20" s="83"/>
      <c r="H20" s="83"/>
      <c r="I20" s="84"/>
    </row>
    <row r="21" spans="1:10" s="5" customFormat="1" ht="17.100000000000001" customHeight="1" x14ac:dyDescent="0.15">
      <c r="A21" s="32"/>
      <c r="B21" s="85" t="s">
        <v>23</v>
      </c>
      <c r="C21" s="86"/>
      <c r="D21" s="86"/>
      <c r="E21" s="86"/>
      <c r="F21" s="86"/>
      <c r="G21" s="86"/>
      <c r="H21" s="86"/>
      <c r="I21" s="87"/>
    </row>
    <row r="22" spans="1:10" s="5" customFormat="1" ht="17.100000000000001" customHeight="1" x14ac:dyDescent="0.15">
      <c r="A22" s="32"/>
      <c r="B22" s="85" t="s">
        <v>24</v>
      </c>
      <c r="C22" s="86"/>
      <c r="D22" s="86"/>
      <c r="E22" s="86"/>
      <c r="F22" s="86"/>
      <c r="G22" s="86"/>
      <c r="H22" s="86"/>
      <c r="I22" s="87"/>
    </row>
    <row r="23" spans="1:10" s="5" customFormat="1" ht="17.100000000000001" customHeight="1" x14ac:dyDescent="0.15">
      <c r="A23" s="32"/>
      <c r="B23" s="88" t="s">
        <v>30</v>
      </c>
      <c r="C23" s="89"/>
      <c r="D23" s="89"/>
      <c r="E23" s="89"/>
      <c r="F23" s="89"/>
      <c r="G23" s="89"/>
      <c r="H23" s="89"/>
      <c r="I23" s="90"/>
    </row>
    <row r="24" spans="1:10" s="5" customFormat="1" ht="17.100000000000001" customHeight="1" x14ac:dyDescent="0.15">
      <c r="A24" s="32"/>
      <c r="B24" s="85" t="s">
        <v>20</v>
      </c>
      <c r="C24" s="86"/>
      <c r="D24" s="86"/>
      <c r="E24" s="86"/>
      <c r="F24" s="86"/>
      <c r="G24" s="86"/>
      <c r="H24" s="86"/>
      <c r="I24" s="87"/>
    </row>
    <row r="25" spans="1:10" s="5" customFormat="1" ht="17.100000000000001" customHeight="1" x14ac:dyDescent="0.15">
      <c r="A25" s="32"/>
      <c r="B25" s="88" t="s">
        <v>21</v>
      </c>
      <c r="C25" s="89"/>
      <c r="D25" s="89"/>
      <c r="E25" s="89"/>
      <c r="F25" s="89"/>
      <c r="G25" s="89"/>
      <c r="H25" s="89"/>
      <c r="I25" s="90"/>
    </row>
    <row r="26" spans="1:10" s="5" customFormat="1" ht="17.100000000000001" customHeight="1" x14ac:dyDescent="0.15">
      <c r="A26" s="32"/>
      <c r="B26" s="88" t="s">
        <v>25</v>
      </c>
      <c r="C26" s="89"/>
      <c r="D26" s="89"/>
      <c r="E26" s="89"/>
      <c r="F26" s="89"/>
      <c r="G26" s="89"/>
      <c r="H26" s="89"/>
      <c r="I26" s="90"/>
    </row>
    <row r="27" spans="1:10" s="5" customFormat="1" ht="17.100000000000001" customHeight="1" x14ac:dyDescent="0.15">
      <c r="A27" s="32"/>
      <c r="B27" s="48" t="s">
        <v>26</v>
      </c>
      <c r="C27" s="49"/>
      <c r="D27" s="49"/>
      <c r="E27" s="49"/>
      <c r="F27" s="49"/>
      <c r="G27" s="49"/>
      <c r="H27" s="49"/>
      <c r="I27" s="50"/>
    </row>
    <row r="28" spans="1:10" s="5" customFormat="1" ht="17.100000000000001" customHeight="1" x14ac:dyDescent="0.15">
      <c r="A28" s="32"/>
      <c r="B28" s="85" t="s">
        <v>27</v>
      </c>
      <c r="C28" s="86"/>
      <c r="D28" s="86"/>
      <c r="E28" s="86"/>
      <c r="F28" s="86"/>
      <c r="G28" s="86"/>
      <c r="H28" s="86"/>
      <c r="I28" s="87"/>
    </row>
    <row r="29" spans="1:10" s="5" customFormat="1" ht="17.100000000000001" customHeight="1" x14ac:dyDescent="0.15">
      <c r="A29" s="32"/>
      <c r="B29" s="85" t="s">
        <v>32</v>
      </c>
      <c r="C29" s="86"/>
      <c r="D29" s="86"/>
      <c r="E29" s="86"/>
      <c r="F29" s="86"/>
      <c r="G29" s="86"/>
      <c r="H29" s="86"/>
      <c r="I29" s="87"/>
    </row>
    <row r="30" spans="1:10" s="5" customFormat="1" ht="17.100000000000001" customHeight="1" x14ac:dyDescent="0.15">
      <c r="A30" s="32"/>
      <c r="B30" s="85" t="s">
        <v>28</v>
      </c>
      <c r="C30" s="86"/>
      <c r="D30" s="86"/>
      <c r="E30" s="86"/>
      <c r="F30" s="86"/>
      <c r="G30" s="86"/>
      <c r="H30" s="86"/>
      <c r="I30" s="87"/>
    </row>
    <row r="31" spans="1:10" s="5" customFormat="1" ht="17.100000000000001" customHeight="1" x14ac:dyDescent="0.15">
      <c r="A31" s="32"/>
      <c r="B31" s="85" t="s">
        <v>29</v>
      </c>
      <c r="C31" s="86"/>
      <c r="D31" s="86"/>
      <c r="E31" s="86"/>
      <c r="F31" s="86"/>
      <c r="G31" s="86"/>
      <c r="H31" s="86"/>
      <c r="I31" s="87"/>
    </row>
    <row r="32" spans="1:10" s="5" customFormat="1" ht="17.100000000000001" customHeight="1" x14ac:dyDescent="0.15">
      <c r="A32" s="33"/>
      <c r="B32" s="79"/>
      <c r="C32" s="80"/>
      <c r="D32" s="80"/>
      <c r="E32" s="80"/>
      <c r="F32" s="80"/>
      <c r="G32" s="80"/>
      <c r="H32" s="80"/>
      <c r="I32" s="81"/>
    </row>
    <row r="33" spans="1:9" s="35" customFormat="1" ht="18.75" customHeight="1" x14ac:dyDescent="0.15">
      <c r="A33" s="34" t="s">
        <v>12</v>
      </c>
      <c r="B33" s="76" t="s">
        <v>36</v>
      </c>
      <c r="C33" s="77"/>
      <c r="D33" s="77"/>
      <c r="E33" s="77"/>
      <c r="F33" s="77"/>
      <c r="G33" s="77"/>
      <c r="H33" s="77"/>
      <c r="I33" s="78"/>
    </row>
    <row r="34" spans="1:9" customFormat="1" ht="15.95" customHeight="1" x14ac:dyDescent="0.15"/>
    <row r="35" spans="1:9" s="4" customFormat="1" x14ac:dyDescent="0.15"/>
    <row r="36" spans="1:9" s="4" customFormat="1" x14ac:dyDescent="0.15"/>
    <row r="37" spans="1:9" s="4" customFormat="1" x14ac:dyDescent="0.15"/>
    <row r="38" spans="1:9" s="4" customFormat="1" x14ac:dyDescent="0.15"/>
    <row r="39" spans="1:9" s="4" customFormat="1" x14ac:dyDescent="0.15"/>
    <row r="40" spans="1:9" s="4" customFormat="1" x14ac:dyDescent="0.15"/>
  </sheetData>
  <mergeCells count="25">
    <mergeCell ref="A17:D17"/>
    <mergeCell ref="B33:I33"/>
    <mergeCell ref="B32:I32"/>
    <mergeCell ref="B20:I20"/>
    <mergeCell ref="B21:I21"/>
    <mergeCell ref="B31:I31"/>
    <mergeCell ref="B23:I23"/>
    <mergeCell ref="B30:I30"/>
    <mergeCell ref="B24:I24"/>
    <mergeCell ref="B29:I29"/>
    <mergeCell ref="B25:I25"/>
    <mergeCell ref="B26:I26"/>
    <mergeCell ref="B28:I28"/>
    <mergeCell ref="B22:I22"/>
    <mergeCell ref="B19:I19"/>
    <mergeCell ref="A2:I2"/>
    <mergeCell ref="B13:D13"/>
    <mergeCell ref="A16:D16"/>
    <mergeCell ref="A14:A15"/>
    <mergeCell ref="B14:D15"/>
    <mergeCell ref="E14:E15"/>
    <mergeCell ref="F14:F15"/>
    <mergeCell ref="G14:G15"/>
    <mergeCell ref="H14:H15"/>
    <mergeCell ref="I14:I15"/>
  </mergeCells>
  <phoneticPr fontId="6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33" bottom="0.25" header="0.26" footer="0.17"/>
  <pageSetup paperSize="9" scale="73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bizwell</cp:lastModifiedBy>
  <cp:lastPrinted>2020-02-28T07:28:07Z</cp:lastPrinted>
  <dcterms:created xsi:type="dcterms:W3CDTF">2001-05-22T00:47:40Z</dcterms:created>
  <dcterms:modified xsi:type="dcterms:W3CDTF">2024-06-26T01:10:11Z</dcterms:modified>
</cp:coreProperties>
</file>