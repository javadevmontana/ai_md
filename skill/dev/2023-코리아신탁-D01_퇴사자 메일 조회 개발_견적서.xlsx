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업무내용221101~\R2_개발환경\R2_xclick_ktrust(코리아신탁)\견적서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E15" i="2" l="1"/>
  <c r="H14" i="2" l="1"/>
  <c r="H15" i="2" s="1"/>
  <c r="H16" i="2" s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<sst xmlns="http://schemas.openxmlformats.org/spreadsheetml/2006/main" count="45" uniqueCount="45">
  <si>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</si>
  <si>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</si>
  <si>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</si>
  <si>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</si>
  <si>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</si>
  <si>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</si>
  <si>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</si>
  <si>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</si>
  <si>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</si>
  <si>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</si>
  <si>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</si>
  <si>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</si>
  <si>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</si>
  <si>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</si>
  <si>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</si>
  <si>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</si>
  <si>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</si>
  <si>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</si>
  <si>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</si>
  <si>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</si>
  <si>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</si>
  <si>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</si>
  <si>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</si>
  <si>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</si>
  <si>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</si>
  <si>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</si>
  <si>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</si>
  <si>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</si>
  <si>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</si>
  <si>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</si>
  <si>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</si>
  <si>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</si>
  <si>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</si>
  <si>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</si>
  <si>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</si>
  <si>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</si>
  <si>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</si>
  <si>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코리아신탁 귀중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</si>
  <si>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</si>
  <si>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</si>
  <si>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2023. 10. 26</t>
    <phoneticPr fontId="6" type="noConversion"/>
  </si>
  <si>
    <t xml:space="preserve"> 퇴사자 메일 조회 개발</t>
    <phoneticPr fontId="6" type="noConversion"/>
  </si>
  <si>
    <t xml:space="preserve"> 2023-코리아신탁-D01</t>
    <phoneticPr fontId="6" type="noConversion"/>
  </si>
  <si>
    <t>[퇴사자 메일 조회 개발]
  - 관리자페이지에서 퇴사자의 삭제된 메일 포함한 모든 메일 조회
  - 검색 항목 : 검색기간/발신자/수신자/제목/내용
  - 리스트 항목 : 보낸사람/제목/날짜/용량
  - 조회 기능 : 본문 및 첨부파일 조회</t>
    <phoneticPr fontId="6" type="noConversion"/>
  </si>
  <si>
    <t xml:space="preserve"> - 메일삭제데몬 중지로 인해 메일 사용량이 증가함에 따라 시스템에 영향이 갈 수 있음.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</si>
</sst>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19" fillId="0" borderId="6" xfId="0" quotePrefix="1" applyFont="1" applyFill="1" applyBorder="1" applyAlignment="1">
      <alignment horizontal="left" vertical="center" wrapText="1"/>
    </xf>
    <xf numFmtId="0" fontId="19" fillId="0" borderId="12" xfId="0" quotePrefix="1" applyFont="1" applyFill="1" applyBorder="1" applyAlignment="1">
      <alignment horizontal="left" vertical="center" wrapText="1"/>
    </xf>
    <xf numFmtId="0" fontId="19" fillId="0" borderId="13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topLeftCell="A4" zoomScaleNormal="100" workbookViewId="0">
      <selection activeCell="L14" sqref="L14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5" t="s">
        <v>14</v>
      </c>
      <c r="B2" s="75"/>
      <c r="C2" s="75"/>
      <c r="D2" s="75"/>
      <c r="E2" s="75"/>
      <c r="F2" s="75"/>
      <c r="G2" s="75"/>
      <c r="H2" s="75"/>
      <c r="I2" s="75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42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37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40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41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일금이백오십만원정 (₩2,500,000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6" t="s">
        <v>1</v>
      </c>
      <c r="C13" s="77"/>
      <c r="D13" s="78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90" customHeight="1" x14ac:dyDescent="0.15">
      <c r="A14" s="55" t="s">
        <v>39</v>
      </c>
      <c r="B14" s="79" t="s">
        <v>43</v>
      </c>
      <c r="C14" s="80"/>
      <c r="D14" s="81"/>
      <c r="E14" s="53">
        <v>5</v>
      </c>
      <c r="F14" s="52">
        <v>654512</v>
      </c>
      <c r="G14" s="52">
        <v>500000</v>
      </c>
      <c r="H14" s="51">
        <f t="shared" ref="H14" si="0">SUM(E14:E14)*G14</f>
        <v>2500000</v>
      </c>
      <c r="I14" s="56" t="s">
        <v>44</v>
      </c>
      <c r="J14" s="36"/>
    </row>
    <row r="15" spans="1:10" s="7" customFormat="1" ht="27.75" customHeight="1" x14ac:dyDescent="0.15">
      <c r="A15" s="57" t="s">
        <v>32</v>
      </c>
      <c r="B15" s="58"/>
      <c r="C15" s="58"/>
      <c r="D15" s="59"/>
      <c r="E15" s="54" t="str">
        <f>(SUM(E14:E14))&amp;"MD"</f>
        <v>5MD</v>
      </c>
      <c r="F15" s="46"/>
      <c r="G15" s="46"/>
      <c r="H15" s="46">
        <f>SUM(H14:H14)</f>
        <v>2500000</v>
      </c>
      <c r="I15" s="47"/>
      <c r="J15" s="36"/>
    </row>
    <row r="16" spans="1:10" s="7" customFormat="1" ht="27.75" customHeight="1" x14ac:dyDescent="0.15">
      <c r="A16" s="57" t="s">
        <v>33</v>
      </c>
      <c r="B16" s="58"/>
      <c r="C16" s="58"/>
      <c r="D16" s="59"/>
      <c r="E16" s="54" t="str">
        <f>E15</f>
        <v>5MD</v>
      </c>
      <c r="F16" s="46"/>
      <c r="G16" s="46"/>
      <c r="H16" s="46">
        <f>H15</f>
        <v>2500000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66" t="s">
        <v>35</v>
      </c>
      <c r="C18" s="67"/>
      <c r="D18" s="67"/>
      <c r="E18" s="67"/>
      <c r="F18" s="67"/>
      <c r="G18" s="67"/>
      <c r="H18" s="67"/>
      <c r="I18" s="68"/>
    </row>
    <row r="19" spans="1:9" s="5" customFormat="1" ht="17.100000000000001" customHeight="1" x14ac:dyDescent="0.15">
      <c r="A19" s="32"/>
      <c r="B19" s="69" t="s">
        <v>36</v>
      </c>
      <c r="C19" s="70"/>
      <c r="D19" s="70"/>
      <c r="E19" s="70"/>
      <c r="F19" s="70"/>
      <c r="G19" s="70"/>
      <c r="H19" s="70"/>
      <c r="I19" s="71"/>
    </row>
    <row r="20" spans="1:9" s="5" customFormat="1" ht="17.100000000000001" customHeight="1" x14ac:dyDescent="0.15">
      <c r="A20" s="32"/>
      <c r="B20" s="69" t="s">
        <v>22</v>
      </c>
      <c r="C20" s="70"/>
      <c r="D20" s="70"/>
      <c r="E20" s="70"/>
      <c r="F20" s="70"/>
      <c r="G20" s="70"/>
      <c r="H20" s="70"/>
      <c r="I20" s="71"/>
    </row>
    <row r="21" spans="1:9" s="5" customFormat="1" ht="17.100000000000001" customHeight="1" x14ac:dyDescent="0.15">
      <c r="A21" s="32"/>
      <c r="B21" s="72" t="s">
        <v>28</v>
      </c>
      <c r="C21" s="73"/>
      <c r="D21" s="73"/>
      <c r="E21" s="73"/>
      <c r="F21" s="73"/>
      <c r="G21" s="73"/>
      <c r="H21" s="73"/>
      <c r="I21" s="74"/>
    </row>
    <row r="22" spans="1:9" s="5" customFormat="1" ht="17.100000000000001" customHeight="1" x14ac:dyDescent="0.15">
      <c r="A22" s="32"/>
      <c r="B22" s="69" t="s">
        <v>20</v>
      </c>
      <c r="C22" s="70"/>
      <c r="D22" s="70"/>
      <c r="E22" s="70"/>
      <c r="F22" s="70"/>
      <c r="G22" s="70"/>
      <c r="H22" s="70"/>
      <c r="I22" s="71"/>
    </row>
    <row r="23" spans="1:9" s="5" customFormat="1" ht="17.100000000000001" customHeight="1" x14ac:dyDescent="0.15">
      <c r="A23" s="32"/>
      <c r="B23" s="72" t="s">
        <v>21</v>
      </c>
      <c r="C23" s="73"/>
      <c r="D23" s="73"/>
      <c r="E23" s="73"/>
      <c r="F23" s="73"/>
      <c r="G23" s="73"/>
      <c r="H23" s="73"/>
      <c r="I23" s="74"/>
    </row>
    <row r="24" spans="1:9" s="5" customFormat="1" ht="17.100000000000001" customHeight="1" x14ac:dyDescent="0.15">
      <c r="A24" s="32"/>
      <c r="B24" s="72" t="s">
        <v>23</v>
      </c>
      <c r="C24" s="73"/>
      <c r="D24" s="73"/>
      <c r="E24" s="73"/>
      <c r="F24" s="73"/>
      <c r="G24" s="73"/>
      <c r="H24" s="73"/>
      <c r="I24" s="74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69" t="s">
        <v>25</v>
      </c>
      <c r="C26" s="70"/>
      <c r="D26" s="70"/>
      <c r="E26" s="70"/>
      <c r="F26" s="70"/>
      <c r="G26" s="70"/>
      <c r="H26" s="70"/>
      <c r="I26" s="71"/>
    </row>
    <row r="27" spans="1:9" s="5" customFormat="1" ht="17.100000000000001" customHeight="1" x14ac:dyDescent="0.15">
      <c r="A27" s="32"/>
      <c r="B27" s="69" t="s">
        <v>31</v>
      </c>
      <c r="C27" s="70"/>
      <c r="D27" s="70"/>
      <c r="E27" s="70"/>
      <c r="F27" s="70"/>
      <c r="G27" s="70"/>
      <c r="H27" s="70"/>
      <c r="I27" s="71"/>
    </row>
    <row r="28" spans="1:9" s="5" customFormat="1" ht="17.100000000000001" customHeight="1" x14ac:dyDescent="0.15">
      <c r="A28" s="32"/>
      <c r="B28" s="69" t="s">
        <v>26</v>
      </c>
      <c r="C28" s="70"/>
      <c r="D28" s="70"/>
      <c r="E28" s="70"/>
      <c r="F28" s="70"/>
      <c r="G28" s="70"/>
      <c r="H28" s="70"/>
      <c r="I28" s="71"/>
    </row>
    <row r="29" spans="1:9" s="5" customFormat="1" ht="17.100000000000001" customHeight="1" x14ac:dyDescent="0.15">
      <c r="A29" s="32"/>
      <c r="B29" s="69" t="s">
        <v>27</v>
      </c>
      <c r="C29" s="70"/>
      <c r="D29" s="70"/>
      <c r="E29" s="70"/>
      <c r="F29" s="70"/>
      <c r="G29" s="70"/>
      <c r="H29" s="70"/>
      <c r="I29" s="71"/>
    </row>
    <row r="30" spans="1:9" s="5" customFormat="1" ht="17.100000000000001" customHeight="1" x14ac:dyDescent="0.15">
      <c r="A30" s="33"/>
      <c r="B30" s="63"/>
      <c r="C30" s="64"/>
      <c r="D30" s="64"/>
      <c r="E30" s="64"/>
      <c r="F30" s="64"/>
      <c r="G30" s="64"/>
      <c r="H30" s="64"/>
      <c r="I30" s="65"/>
    </row>
    <row r="31" spans="1:9" s="35" customFormat="1" ht="18.75" customHeight="1" x14ac:dyDescent="0.15">
      <c r="A31" s="34" t="s">
        <v>12</v>
      </c>
      <c r="B31" s="60" t="s">
        <v>38</v>
      </c>
      <c r="C31" s="61"/>
      <c r="D31" s="61"/>
      <c r="E31" s="61"/>
      <c r="F31" s="61"/>
      <c r="G31" s="61"/>
      <c r="H31" s="61"/>
      <c r="I31" s="62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B14:D14"/>
    <mergeCell ref="A16:D16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hyosim yoon</cp:lastModifiedBy>
  <cp:lastPrinted>2020-09-16T08:21:47Z</cp:lastPrinted>
  <dcterms:created xsi:type="dcterms:W3CDTF">2001-05-22T00:47:40Z</dcterms:created>
  <dcterms:modified xsi:type="dcterms:W3CDTF">2023-10-27T01:00:28Z</dcterms:modified>
</cp:coreProperties>
</file>