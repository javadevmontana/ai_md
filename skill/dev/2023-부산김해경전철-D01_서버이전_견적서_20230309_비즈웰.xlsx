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박승균\기술지원팀\고객사\14. 부산김해경전철\"/>
    </mc:Choice>
  </mc:AlternateContent>
  <bookViews>
    <workbookView xWindow="0" yWindow="0" windowWidth="28800" windowHeight="1239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E14" i="2" l="1"/>
  <c r="H13" i="2" l="1"/>
  <c r="H14" i="2" s="1"/>
  <c r="H15" i="2" l="1"/>
  <c r="B9" i="2" s="1"/>
  <c r="E15" i="2" l="1"/>
</calcChain>
</file>

<file path=xl/sharedStrings.xml><?xml version="1.0" encoding="utf-8"?>
<sst xmlns="http://schemas.openxmlformats.org/spreadsheetml/2006/main" count="47" uniqueCount="46">
  <si>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</si>
  <si>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</si>
  <si>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</si>
  <si>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</si>
  <si>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</si>
  <si>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</si>
  <si>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</si>
  <si>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</si>
  <si>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</si>
  <si>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</si>
  <si>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</si>
  <si>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</si>
  <si>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</si>
  <si>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</si>
  <si>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</si>
  <si>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</si>
  <si>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</si>
  <si>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합  계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</si>
  <si>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</si>
  <si>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</si>
  <si>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</si>
  <si>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</si>
  <si>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</si>
  <si>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</si>
  <si>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</si>
  <si>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</si>
  <si>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</si>
  <si>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</si>
  <si>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</si>
  <si>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</si>
  <si>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</si>
  <si>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</si>
  <si>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</si>
  <si>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</si>
  <si>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 xml:space="preserve"> 운영지원부문  김형준이사 (kimhj@bizwell.net)  /  070-4616-5049  /  010-6565-9047   </t>
    <phoneticPr fontId="6" type="noConversion"/>
  </si>
  <si>
    <t xml:space="preserve"> 그룹웨어 서버이전</t>
    <phoneticPr fontId="6" type="noConversion"/>
  </si>
  <si>
    <t>그룹웨어
서버이전</t>
    <phoneticPr fontId="6" type="noConversion"/>
  </si>
  <si>
    <t>- 상기 기재된 기능 외 변경 및 추가 시 추가공수가 발생함</t>
    <phoneticPr fontId="6" type="noConversion"/>
  </si>
  <si>
    <t>※ 적용등급 : 중급</t>
    <phoneticPr fontId="6" type="noConversion"/>
  </si>
  <si>
    <t xml:space="preserve"> 2023-부산김해경전철-D01</t>
    <phoneticPr fontId="6" type="noConversion"/>
  </si>
  <si>
    <t xml:space="preserve"> 부산김해경전철 귀중</t>
    <phoneticPr fontId="6" type="noConversion"/>
  </si>
  <si>
    <t xml:space="preserve"> 견적일로부터 2주일 이내</t>
    <phoneticPr fontId="6" type="noConversion"/>
  </si>
  <si>
    <t xml:space="preserve">[그룹웨어 서버 이전 - 그룹웨어, WAS, 메신저]
- GW 소스 및 tomcat7, buzz메신저 설치
- 서버 이전 관련 설정 변경 및 테스트 지원
- 신규 서버 세팅 -&gt; 테스트 -&gt; 운영 전환 형태로 진행
</t>
    <phoneticPr fontId="6" type="noConversion"/>
  </si>
  <si>
    <t>견   적   서</t>
    <phoneticPr fontId="8" type="noConversion"/>
  </si>
  <si>
    <t xml:space="preserve"> 2023.03.09</t>
    <phoneticPr fontId="6" type="noConversion"/>
  </si>
  <si>
    <t>- 서버 OS, JDK는 기존 버전 유지
- 대상 서버는 그룹웨어 AP서버에 한함
- 도메인 변경 설정 등은 지원하지 않음.
- 그룹웨어 데이터 이전은 지원하지 않음.
- 네트워크 작업은 지원하지 않음.
- 데이터 및 Repository 이전은 지원하지 않음.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</si>
</sst>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center" vertical="center" wrapText="1"/>
    </xf>
    <xf numFmtId="49" fontId="18" fillId="6" borderId="5" xfId="1" quotePrefix="1" applyNumberFormat="1" applyFont="1" applyFill="1" applyBorder="1" applyAlignment="1">
      <alignment horizontal="left" vertical="top" wrapText="1"/>
    </xf>
    <xf numFmtId="0" fontId="15" fillId="0" borderId="1" xfId="2" quotePrefix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" xfId="0" quotePrefix="1" applyFont="1" applyFill="1" applyBorder="1" applyAlignment="1">
      <alignment horizontal="left" vertical="center" wrapText="1"/>
    </xf>
    <xf numFmtId="0" fontId="15" fillId="0" borderId="2" xfId="0" quotePrefix="1" applyFont="1" applyFill="1" applyBorder="1" applyAlignment="1">
      <alignment horizontal="left" vertical="center" wrapText="1"/>
    </xf>
    <xf numFmtId="0" fontId="15" fillId="0" borderId="3" xfId="0" quotePrefix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2" xfId="0" quotePrefix="1" applyFont="1" applyFill="1" applyBorder="1" applyAlignment="1">
      <alignment horizontal="left" vertical="top" wrapText="1"/>
    </xf>
    <xf numFmtId="0" fontId="15" fillId="0" borderId="3" xfId="0" quotePrefix="1" applyFont="1" applyFill="1" applyBorder="1" applyAlignment="1">
      <alignment horizontal="left" vertical="top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24.88671875" style="1" customWidth="1"/>
    <col min="4" max="4" width="2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30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78" t="s">
        <v>43</v>
      </c>
      <c r="B1" s="78"/>
      <c r="C1" s="78"/>
      <c r="D1" s="78"/>
      <c r="E1" s="78"/>
      <c r="F1" s="78"/>
      <c r="G1" s="78"/>
      <c r="H1" s="78"/>
      <c r="I1" s="78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39</v>
      </c>
      <c r="C3" s="20"/>
      <c r="D3" s="26"/>
      <c r="E3" s="34" t="s">
        <v>4</v>
      </c>
      <c r="F3" s="35"/>
      <c r="G3" s="35"/>
      <c r="H3" s="35"/>
      <c r="I3" s="36"/>
    </row>
    <row r="4" spans="1:10" s="3" customFormat="1" ht="20.100000000000001" customHeight="1" x14ac:dyDescent="0.15">
      <c r="A4" s="19" t="s">
        <v>6</v>
      </c>
      <c r="B4" s="56" t="s">
        <v>40</v>
      </c>
      <c r="C4" s="20"/>
      <c r="D4" s="26"/>
      <c r="E4" s="37" t="s">
        <v>12</v>
      </c>
      <c r="F4" s="27"/>
      <c r="G4" s="27"/>
      <c r="H4" s="27"/>
      <c r="I4" s="38"/>
    </row>
    <row r="5" spans="1:10" s="3" customFormat="1" ht="20.100000000000001" customHeight="1" x14ac:dyDescent="0.15">
      <c r="A5" s="19" t="s">
        <v>7</v>
      </c>
      <c r="B5" s="21" t="s">
        <v>44</v>
      </c>
      <c r="C5" s="20"/>
      <c r="D5" s="26"/>
      <c r="E5" s="41" t="s">
        <v>16</v>
      </c>
      <c r="F5" s="27"/>
      <c r="G5" s="27"/>
      <c r="H5" s="27"/>
      <c r="I5" s="38"/>
    </row>
    <row r="6" spans="1:10" s="3" customFormat="1" ht="20.100000000000001" customHeight="1" x14ac:dyDescent="0.15">
      <c r="A6" s="19" t="s">
        <v>8</v>
      </c>
      <c r="B6" s="21" t="s">
        <v>41</v>
      </c>
      <c r="C6" s="20"/>
      <c r="D6" s="26"/>
      <c r="E6" s="42" t="s">
        <v>14</v>
      </c>
      <c r="F6" s="39"/>
      <c r="G6" s="39"/>
      <c r="H6" s="39"/>
      <c r="I6" s="40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10</v>
      </c>
      <c r="B8" s="14" t="s">
        <v>35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18</v>
      </c>
      <c r="B9" s="14" t="str">
        <f>TEXT(H15," 일금[DBNum4][$-412]G/표준원정") &amp; " (" &amp; DOLLAR(H15) &amp; " 부가세별도)"</f>
        <v xml:space="preserve"> 일금이백오십만원정 (₩2,500,000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13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15">
      <c r="A12" s="24" t="s">
        <v>0</v>
      </c>
      <c r="B12" s="79" t="s">
        <v>1</v>
      </c>
      <c r="C12" s="80"/>
      <c r="D12" s="81"/>
      <c r="E12" s="25" t="s">
        <v>30</v>
      </c>
      <c r="F12" s="25" t="s">
        <v>15</v>
      </c>
      <c r="G12" s="25" t="s">
        <v>2</v>
      </c>
      <c r="H12" s="25" t="s">
        <v>3</v>
      </c>
      <c r="I12" s="25" t="s">
        <v>29</v>
      </c>
      <c r="J12" s="50"/>
    </row>
    <row r="13" spans="1:10" s="5" customFormat="1" ht="81" customHeight="1" x14ac:dyDescent="0.15">
      <c r="A13" s="54" t="s">
        <v>36</v>
      </c>
      <c r="B13" s="75" t="s">
        <v>42</v>
      </c>
      <c r="C13" s="76"/>
      <c r="D13" s="77"/>
      <c r="E13" s="48">
        <v>5</v>
      </c>
      <c r="F13" s="53">
        <v>604342.82999999996</v>
      </c>
      <c r="G13" s="53">
        <v>500000</v>
      </c>
      <c r="H13" s="53">
        <f>SUM(E13:E13)*G13</f>
        <v>2500000</v>
      </c>
      <c r="I13" s="55" t="s">
        <v>45</v>
      </c>
      <c r="J13" s="50"/>
    </row>
    <row r="14" spans="1:10" s="5" customFormat="1" ht="21" customHeight="1" x14ac:dyDescent="0.15">
      <c r="A14" s="66" t="s">
        <v>17</v>
      </c>
      <c r="B14" s="67"/>
      <c r="C14" s="67"/>
      <c r="D14" s="68"/>
      <c r="E14" s="49">
        <f>SUM(E13:E13)</f>
        <v>5</v>
      </c>
      <c r="F14" s="43"/>
      <c r="G14" s="43"/>
      <c r="H14" s="43">
        <f>SUM(H13:H13)</f>
        <v>2500000</v>
      </c>
      <c r="I14" s="44"/>
      <c r="J14" s="33"/>
    </row>
    <row r="15" spans="1:10" s="5" customFormat="1" ht="21" customHeight="1" x14ac:dyDescent="0.15">
      <c r="A15" s="66" t="s">
        <v>18</v>
      </c>
      <c r="B15" s="67"/>
      <c r="C15" s="67"/>
      <c r="D15" s="68"/>
      <c r="E15" s="49">
        <f>E14</f>
        <v>5</v>
      </c>
      <c r="F15" s="43"/>
      <c r="G15" s="43"/>
      <c r="H15" s="43">
        <f>H14</f>
        <v>2500000</v>
      </c>
      <c r="I15" s="44"/>
      <c r="J15" s="33"/>
    </row>
    <row r="16" spans="1:10" s="4" customFormat="1" ht="14.25" customHeight="1" x14ac:dyDescent="0.25">
      <c r="A16" s="28"/>
      <c r="B16" s="13"/>
      <c r="C16" s="13"/>
      <c r="D16" s="13"/>
      <c r="E16" s="9"/>
      <c r="F16" s="9"/>
      <c r="G16" s="9"/>
      <c r="H16" s="17"/>
      <c r="I16" s="18"/>
    </row>
    <row r="17" spans="1:10" s="3" customFormat="1" ht="40.5" x14ac:dyDescent="0.15">
      <c r="A17" s="52" t="s">
        <v>32</v>
      </c>
      <c r="B17" s="72" t="s">
        <v>37</v>
      </c>
      <c r="C17" s="73"/>
      <c r="D17" s="73"/>
      <c r="E17" s="73"/>
      <c r="F17" s="73"/>
      <c r="G17" s="73"/>
      <c r="H17" s="73"/>
      <c r="I17" s="74"/>
      <c r="J17" s="51"/>
    </row>
    <row r="18" spans="1:10" s="3" customFormat="1" ht="17.100000000000001" customHeight="1" x14ac:dyDescent="0.15">
      <c r="A18" s="29"/>
      <c r="B18" s="60" t="s">
        <v>21</v>
      </c>
      <c r="C18" s="61"/>
      <c r="D18" s="61"/>
      <c r="E18" s="61"/>
      <c r="F18" s="61"/>
      <c r="G18" s="61"/>
      <c r="H18" s="61"/>
      <c r="I18" s="62"/>
    </row>
    <row r="19" spans="1:10" s="3" customFormat="1" ht="17.100000000000001" customHeight="1" x14ac:dyDescent="0.15">
      <c r="A19" s="30" t="s">
        <v>31</v>
      </c>
      <c r="B19" s="63" t="s">
        <v>38</v>
      </c>
      <c r="C19" s="64"/>
      <c r="D19" s="64"/>
      <c r="E19" s="64"/>
      <c r="F19" s="64"/>
      <c r="G19" s="64"/>
      <c r="H19" s="64"/>
      <c r="I19" s="65"/>
    </row>
    <row r="20" spans="1:10" s="3" customFormat="1" ht="17.100000000000001" customHeight="1" x14ac:dyDescent="0.15">
      <c r="A20" s="30"/>
      <c r="B20" s="63" t="s">
        <v>22</v>
      </c>
      <c r="C20" s="64"/>
      <c r="D20" s="64"/>
      <c r="E20" s="64"/>
      <c r="F20" s="64"/>
      <c r="G20" s="64"/>
      <c r="H20" s="64"/>
      <c r="I20" s="65"/>
    </row>
    <row r="21" spans="1:10" s="3" customFormat="1" ht="17.100000000000001" customHeight="1" x14ac:dyDescent="0.15">
      <c r="A21" s="30"/>
      <c r="B21" s="69" t="s">
        <v>28</v>
      </c>
      <c r="C21" s="70"/>
      <c r="D21" s="70"/>
      <c r="E21" s="70"/>
      <c r="F21" s="70"/>
      <c r="G21" s="70"/>
      <c r="H21" s="70"/>
      <c r="I21" s="71"/>
    </row>
    <row r="22" spans="1:10" s="3" customFormat="1" ht="17.100000000000001" customHeight="1" x14ac:dyDescent="0.15">
      <c r="A22" s="30"/>
      <c r="B22" s="63" t="s">
        <v>19</v>
      </c>
      <c r="C22" s="64"/>
      <c r="D22" s="64"/>
      <c r="E22" s="64"/>
      <c r="F22" s="64"/>
      <c r="G22" s="64"/>
      <c r="H22" s="64"/>
      <c r="I22" s="65"/>
    </row>
    <row r="23" spans="1:10" s="3" customFormat="1" ht="17.100000000000001" customHeight="1" x14ac:dyDescent="0.15">
      <c r="A23" s="30"/>
      <c r="B23" s="69" t="s">
        <v>20</v>
      </c>
      <c r="C23" s="70"/>
      <c r="D23" s="70"/>
      <c r="E23" s="70"/>
      <c r="F23" s="70"/>
      <c r="G23" s="70"/>
      <c r="H23" s="70"/>
      <c r="I23" s="71"/>
    </row>
    <row r="24" spans="1:10" s="3" customFormat="1" ht="17.100000000000001" customHeight="1" x14ac:dyDescent="0.15">
      <c r="A24" s="30"/>
      <c r="B24" s="69" t="s">
        <v>23</v>
      </c>
      <c r="C24" s="70"/>
      <c r="D24" s="70"/>
      <c r="E24" s="70"/>
      <c r="F24" s="70"/>
      <c r="G24" s="70"/>
      <c r="H24" s="70"/>
      <c r="I24" s="71"/>
    </row>
    <row r="25" spans="1:10" s="3" customFormat="1" ht="17.100000000000001" customHeight="1" x14ac:dyDescent="0.15">
      <c r="A25" s="30"/>
      <c r="B25" s="45" t="s">
        <v>24</v>
      </c>
      <c r="C25" s="46"/>
      <c r="D25" s="46"/>
      <c r="E25" s="46"/>
      <c r="F25" s="46"/>
      <c r="G25" s="46"/>
      <c r="H25" s="46"/>
      <c r="I25" s="47"/>
    </row>
    <row r="26" spans="1:10" s="3" customFormat="1" ht="17.100000000000001" customHeight="1" x14ac:dyDescent="0.15">
      <c r="A26" s="30"/>
      <c r="B26" s="63" t="s">
        <v>25</v>
      </c>
      <c r="C26" s="64"/>
      <c r="D26" s="64"/>
      <c r="E26" s="64"/>
      <c r="F26" s="64"/>
      <c r="G26" s="64"/>
      <c r="H26" s="64"/>
      <c r="I26" s="65"/>
    </row>
    <row r="27" spans="1:10" s="3" customFormat="1" ht="17.100000000000001" customHeight="1" x14ac:dyDescent="0.15">
      <c r="A27" s="30"/>
      <c r="B27" s="63" t="s">
        <v>33</v>
      </c>
      <c r="C27" s="64"/>
      <c r="D27" s="64"/>
      <c r="E27" s="64"/>
      <c r="F27" s="64"/>
      <c r="G27" s="64"/>
      <c r="H27" s="64"/>
      <c r="I27" s="65"/>
    </row>
    <row r="28" spans="1:10" s="3" customFormat="1" ht="17.100000000000001" customHeight="1" x14ac:dyDescent="0.15">
      <c r="A28" s="30"/>
      <c r="B28" s="63" t="s">
        <v>26</v>
      </c>
      <c r="C28" s="64"/>
      <c r="D28" s="64"/>
      <c r="E28" s="64"/>
      <c r="F28" s="64"/>
      <c r="G28" s="64"/>
      <c r="H28" s="64"/>
      <c r="I28" s="65"/>
    </row>
    <row r="29" spans="1:10" s="3" customFormat="1" ht="17.100000000000001" customHeight="1" x14ac:dyDescent="0.15">
      <c r="A29" s="30"/>
      <c r="B29" s="63" t="s">
        <v>27</v>
      </c>
      <c r="C29" s="64"/>
      <c r="D29" s="64"/>
      <c r="E29" s="64"/>
      <c r="F29" s="64"/>
      <c r="G29" s="64"/>
      <c r="H29" s="64"/>
      <c r="I29" s="65"/>
    </row>
    <row r="30" spans="1:10" s="32" customFormat="1" ht="18.75" customHeight="1" x14ac:dyDescent="0.15">
      <c r="A30" s="31" t="s">
        <v>11</v>
      </c>
      <c r="B30" s="57" t="s">
        <v>34</v>
      </c>
      <c r="C30" s="58"/>
      <c r="D30" s="58"/>
      <c r="E30" s="58"/>
      <c r="F30" s="58"/>
      <c r="G30" s="58"/>
      <c r="H30" s="58"/>
      <c r="I30" s="59"/>
    </row>
    <row r="31" spans="1:10" customFormat="1" ht="15.95" customHeight="1" x14ac:dyDescent="0.15"/>
    <row r="32" spans="1:10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</sheetData>
  <mergeCells count="18">
    <mergeCell ref="B13:D13"/>
    <mergeCell ref="B24:I24"/>
    <mergeCell ref="A1:I1"/>
    <mergeCell ref="B12:D12"/>
    <mergeCell ref="B30:I30"/>
    <mergeCell ref="B18:I18"/>
    <mergeCell ref="B19:I19"/>
    <mergeCell ref="A14:D14"/>
    <mergeCell ref="B29:I29"/>
    <mergeCell ref="B21:I21"/>
    <mergeCell ref="B28:I28"/>
    <mergeCell ref="B22:I22"/>
    <mergeCell ref="B27:I27"/>
    <mergeCell ref="B23:I23"/>
    <mergeCell ref="B26:I26"/>
    <mergeCell ref="A15:D15"/>
    <mergeCell ref="B20:I20"/>
    <mergeCell ref="B17:I17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8:H9"/>
  </dataValidations>
  <pageMargins left="0.31496062992125984" right="0.23622047244094491" top="0.33" bottom="0.25" header="0.26" footer="0.17"/>
  <pageSetup paperSize="9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2021-01-13T08:29:06Z</cp:lastPrinted>
  <dcterms:created xsi:type="dcterms:W3CDTF">2001-05-22T00:47:40Z</dcterms:created>
  <dcterms:modified xsi:type="dcterms:W3CDTF">2023-03-08T23:04:11Z</dcterms:modified>
</cp:coreProperties>
</file>