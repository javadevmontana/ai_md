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사이트관리\!!사용한양식\견적서\"/>
    </mc:Choice>
  </mc:AlternateContent>
  <xr:revisionPtr revIDLastSave="0" documentId="13_ncr:1_{8F370B49-A338-41FF-AB28-F7E3C45D24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견적서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H13" i="3"/>
  <c r="H14" i="3" s="1"/>
  <c r="E14" i="3" l="1"/>
  <c r="E16" i="3" s="1"/>
  <c r="H16" i="3" l="1"/>
</calcChain>
</file>

<file path=xl/sharedStrings.xml><?xml version="1.0" encoding="utf-8"?>
<sst xmlns="http://schemas.openxmlformats.org/spreadsheetml/2006/main" count="46" uniqueCount="46">
  <si>
    <t xml:space="preserve"> 4) 개발 소요기간은 산정된 작업공수와 동일하지 않습니다. (별도 협의 필요)</t>
    <phoneticPr fontId="9" type="noConversion"/>
  </si>
  <si>
    <t xml:space="preserve"> 3) 견적 유효기간 내에 개발진행 확정시 세부 개발일정에 대한 협의가 이루어집니다.</t>
    <phoneticPr fontId="9" type="noConversion"/>
  </si>
  <si>
    <t xml:space="preserve">    - 8MH = 1MD,  20MD = 1MM</t>
    <phoneticPr fontId="9" type="noConversion"/>
  </si>
  <si>
    <t xml:space="preserve"> 2) 공수산정 기준은 다음과 같습니다. (실제 투입 공수는 변경될 수 있음)</t>
    <phoneticPr fontId="9" type="noConversion"/>
  </si>
  <si>
    <t xml:space="preserve">    - 단, 산출물 작성 위한 공수는 별도 </t>
    <phoneticPr fontId="9" type="noConversion"/>
  </si>
  <si>
    <t xml:space="preserve">    - 그 예로 협의를 위한 방문지원 시간, 유선상의 연락 및 확인시간 등 일련의 모든 활동</t>
    <phoneticPr fontId="9" type="noConversion"/>
  </si>
  <si>
    <t xml:space="preserve"> 1) 공수의 기준은 해당 시스템의 구축을 위하여 소요되는 모든 활동을 포함됩니다.</t>
    <phoneticPr fontId="9" type="noConversion"/>
  </si>
  <si>
    <t>※ 공수 산정 시 주요 가정 및 기타 참고사항</t>
    <phoneticPr fontId="9" type="noConversion"/>
  </si>
  <si>
    <t>※ 투입인력 작업수행 조건 : 비상주 (상주 요구 시 재견적 필요)</t>
    <phoneticPr fontId="9" type="noConversion"/>
  </si>
  <si>
    <t>※ 공급단가 : 작업 수행인력 외 기술지원부문(프로젝트지원팀,기술연구소 등) 반영 단가 임</t>
    <phoneticPr fontId="9" type="noConversion"/>
  </si>
  <si>
    <t>※ 적용등급 : 중급</t>
    <phoneticPr fontId="9" type="noConversion"/>
  </si>
  <si>
    <t>참조 사항</t>
    <phoneticPr fontId="9" type="noConversion"/>
  </si>
  <si>
    <t>전제 조건
및
고려사항</t>
    <phoneticPr fontId="9" type="noConversion"/>
  </si>
  <si>
    <t>견적 금액</t>
    <phoneticPr fontId="9" type="noConversion"/>
  </si>
  <si>
    <t>합  계</t>
    <phoneticPr fontId="9" type="noConversion"/>
  </si>
  <si>
    <t>비  고</t>
    <phoneticPr fontId="9" type="noConversion"/>
  </si>
  <si>
    <t>공급 금액</t>
    <phoneticPr fontId="9" type="noConversion"/>
  </si>
  <si>
    <t>공급 단가</t>
    <phoneticPr fontId="9" type="noConversion"/>
  </si>
  <si>
    <t>SW노임단가</t>
    <phoneticPr fontId="9" type="noConversion"/>
  </si>
  <si>
    <t>M/D</t>
    <phoneticPr fontId="9" type="noConversion"/>
  </si>
  <si>
    <t>내   용</t>
    <phoneticPr fontId="9" type="noConversion"/>
  </si>
  <si>
    <t>항 목</t>
    <phoneticPr fontId="9" type="noConversion"/>
  </si>
  <si>
    <t xml:space="preserve"> 아래와 같이 견적합니다.</t>
    <phoneticPr fontId="9" type="noConversion"/>
  </si>
  <si>
    <t>견적 금액</t>
    <phoneticPr fontId="9" type="noConversion"/>
  </si>
  <si>
    <t>견  적  명</t>
    <phoneticPr fontId="9" type="noConversion"/>
  </si>
  <si>
    <t xml:space="preserve"> ☎ 031-425-5820   Fax) 031-450-5821</t>
    <phoneticPr fontId="9" type="noConversion"/>
  </si>
  <si>
    <t>유효 기간</t>
    <phoneticPr fontId="9" type="noConversion"/>
  </si>
  <si>
    <t xml:space="preserve"> 경기 안양 동안구 학의로 282 금강펜테리움IT타워 B-1915</t>
    <phoneticPr fontId="9" type="noConversion"/>
  </si>
  <si>
    <t>견적 일자</t>
    <phoneticPr fontId="9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</si>
  <si>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9" type="noConversion"/>
  </si>
  <si>
    <t>제  출  처</t>
    <phoneticPr fontId="9" type="noConversion"/>
  </si>
  <si>
    <t xml:space="preserve"> 주식회사  비 즈 웰</t>
    <phoneticPr fontId="9" type="noConversion"/>
  </si>
  <si>
    <t>견적 번호</t>
    <phoneticPr fontId="9" type="noConversion"/>
  </si>
  <si>
    <t>견   적   서</t>
    <phoneticPr fontId="11" type="noConversion"/>
  </si>
  <si>
    <t>개발비</t>
    <phoneticPr fontId="9" type="noConversion"/>
  </si>
  <si>
    <t>Special DC</t>
    <phoneticPr fontId="9" type="noConversion"/>
  </si>
  <si>
    <t/>
  </si>
  <si>
    <t xml:space="preserve"> 견적일로부터 2개월 이내</t>
    <phoneticPr fontId="9" type="noConversion"/>
  </si>
  <si>
    <t>※ SW노임단가는 2018년 소프트웨어 기술자 노임대가 기준입니다. (제경비 110%, 기술료 30% 산정)</t>
    <phoneticPr fontId="9" type="noConversion"/>
  </si>
  <si>
    <t>MG새마을금고복지회</t>
    <phoneticPr fontId="9" type="noConversion"/>
  </si>
  <si>
    <t xml:space="preserve"> 2024-MG새마을금고복지회-D03</t>
    <phoneticPr fontId="9" type="noConversion"/>
  </si>
  <si>
    <t xml:space="preserve"> 2024.10.24</t>
    <phoneticPr fontId="9" type="noConversion"/>
  </si>
  <si>
    <t>전자결재 일상감사 표기 건</t>
    <phoneticPr fontId="9" type="noConversion"/>
  </si>
  <si>
    <t>- 문서유통 발송시 감사자 미표시</t>
    <phoneticPr fontId="34" type="noConversion"/>
  </si>
  <si>
    <t>(단위:원, 부가세별도)</t>
    <phoneticPr fontId="9" type="noConversion"/>
  </si>
  <si>
    <t>일상감사 표기 건
- 감사자가 감사 시 한글기안문 결재선에 감사 문구 표시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</si>
</sst>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_);[Red]\(0.0\)"/>
  </numFmts>
  <fonts count="3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CFFFF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0">
    <xf numFmtId="0" fontId="0" fillId="0" borderId="0"/>
    <xf numFmtId="41" fontId="8" fillId="0" borderId="0" applyFont="0" applyFill="0" applyBorder="0" applyAlignment="0" applyProtection="0"/>
    <xf numFmtId="0" fontId="10" fillId="0" borderId="0"/>
    <xf numFmtId="0" fontId="23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26" fillId="0" borderId="0"/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/>
    <xf numFmtId="0" fontId="12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3" fillId="0" borderId="0" xfId="0" applyFont="1" applyAlignment="1">
      <alignment vertical="center"/>
    </xf>
    <xf numFmtId="0" fontId="16" fillId="0" borderId="0" xfId="2" applyFont="1" applyAlignment="1" applyProtection="1">
      <alignment horizontal="centerContinuous" vertical="center"/>
      <protection locked="0"/>
    </xf>
    <xf numFmtId="0" fontId="16" fillId="0" borderId="0" xfId="2" applyFont="1" applyAlignment="1">
      <alignment horizontal="centerContinuous" vertical="center"/>
    </xf>
    <xf numFmtId="41" fontId="16" fillId="0" borderId="0" xfId="2" applyNumberFormat="1" applyFont="1" applyAlignment="1">
      <alignment horizontal="centerContinuous" vertical="center"/>
    </xf>
    <xf numFmtId="41" fontId="17" fillId="0" borderId="0" xfId="2" applyNumberFormat="1" applyFont="1" applyAlignment="1">
      <alignment horizontal="center" vertical="center"/>
    </xf>
    <xf numFmtId="49" fontId="17" fillId="0" borderId="0" xfId="2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2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9" fillId="2" borderId="1" xfId="1" applyNumberFormat="1" applyFont="1" applyFill="1" applyBorder="1" applyAlignment="1" applyProtection="1">
      <alignment vertical="center"/>
    </xf>
    <xf numFmtId="0" fontId="20" fillId="2" borderId="2" xfId="1" applyNumberFormat="1" applyFont="1" applyFill="1" applyBorder="1" applyAlignment="1" applyProtection="1">
      <alignment vertical="center"/>
    </xf>
    <xf numFmtId="49" fontId="17" fillId="0" borderId="3" xfId="2" applyNumberFormat="1" applyFont="1" applyBorder="1" applyAlignment="1">
      <alignment vertical="center"/>
    </xf>
    <xf numFmtId="41" fontId="17" fillId="0" borderId="0" xfId="2" applyNumberFormat="1" applyFont="1" applyAlignment="1">
      <alignment horizontal="center"/>
    </xf>
    <xf numFmtId="0" fontId="21" fillId="0" borderId="0" xfId="0" applyFont="1" applyAlignment="1">
      <alignment horizontal="right" vertical="center"/>
    </xf>
    <xf numFmtId="0" fontId="17" fillId="4" borderId="1" xfId="2" applyFont="1" applyFill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/>
    </xf>
    <xf numFmtId="0" fontId="17" fillId="4" borderId="6" xfId="2" applyFont="1" applyFill="1" applyBorder="1" applyAlignment="1">
      <alignment horizontal="center" vertical="center"/>
    </xf>
    <xf numFmtId="0" fontId="17" fillId="4" borderId="4" xfId="2" applyFont="1" applyFill="1" applyBorder="1" applyAlignment="1">
      <alignment horizontal="center" vertical="center"/>
    </xf>
    <xf numFmtId="0" fontId="21" fillId="4" borderId="5" xfId="2" applyFont="1" applyFill="1" applyBorder="1" applyAlignment="1">
      <alignment horizontal="center" vertical="center"/>
    </xf>
    <xf numFmtId="41" fontId="21" fillId="4" borderId="5" xfId="1" applyFont="1" applyFill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18" fillId="0" borderId="0" xfId="2" applyFont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1" fontId="13" fillId="0" borderId="0" xfId="0" applyNumberFormat="1" applyFont="1" applyAlignment="1">
      <alignment vertical="center"/>
    </xf>
    <xf numFmtId="49" fontId="18" fillId="0" borderId="6" xfId="2" applyNumberFormat="1" applyFont="1" applyBorder="1" applyAlignment="1">
      <alignment vertical="center"/>
    </xf>
    <xf numFmtId="41" fontId="17" fillId="0" borderId="12" xfId="2" applyNumberFormat="1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49" fontId="18" fillId="0" borderId="7" xfId="2" applyNumberFormat="1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49" fontId="17" fillId="0" borderId="9" xfId="2" applyNumberFormat="1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49" fontId="27" fillId="0" borderId="7" xfId="2" applyNumberFormat="1" applyFont="1" applyBorder="1" applyAlignment="1">
      <alignment vertical="center"/>
    </xf>
    <xf numFmtId="49" fontId="18" fillId="0" borderId="8" xfId="2" applyNumberFormat="1" applyFont="1" applyBorder="1" applyAlignment="1">
      <alignment vertical="center"/>
    </xf>
    <xf numFmtId="41" fontId="28" fillId="5" borderId="4" xfId="2" applyNumberFormat="1" applyFont="1" applyFill="1" applyBorder="1" applyAlignment="1">
      <alignment horizontal="center" vertical="center"/>
    </xf>
    <xf numFmtId="9" fontId="28" fillId="5" borderId="4" xfId="2" applyNumberFormat="1" applyFont="1" applyFill="1" applyBorder="1" applyAlignment="1">
      <alignment horizontal="center" vertical="center"/>
    </xf>
    <xf numFmtId="176" fontId="28" fillId="5" borderId="4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176" fontId="28" fillId="0" borderId="4" xfId="1" applyNumberFormat="1" applyFont="1" applyFill="1" applyBorder="1" applyAlignment="1">
      <alignment horizontal="center" vertical="center"/>
    </xf>
    <xf numFmtId="41" fontId="28" fillId="0" borderId="4" xfId="2" applyNumberFormat="1" applyFont="1" applyBorder="1" applyAlignment="1">
      <alignment horizontal="center" vertical="center"/>
    </xf>
    <xf numFmtId="9" fontId="28" fillId="0" borderId="4" xfId="2" applyNumberFormat="1" applyFont="1" applyBorder="1" applyAlignment="1">
      <alignment horizontal="center" vertical="center"/>
    </xf>
    <xf numFmtId="176" fontId="28" fillId="5" borderId="15" xfId="1" applyNumberFormat="1" applyFont="1" applyFill="1" applyBorder="1" applyAlignment="1">
      <alignment horizontal="center" vertical="center"/>
    </xf>
    <xf numFmtId="41" fontId="28" fillId="5" borderId="15" xfId="2" applyNumberFormat="1" applyFont="1" applyFill="1" applyBorder="1" applyAlignment="1">
      <alignment horizontal="center" vertical="center"/>
    </xf>
    <xf numFmtId="9" fontId="28" fillId="5" borderId="15" xfId="2" applyNumberFormat="1" applyFont="1" applyFill="1" applyBorder="1" applyAlignment="1">
      <alignment horizontal="center" vertical="center"/>
    </xf>
    <xf numFmtId="0" fontId="33" fillId="6" borderId="14" xfId="7" quotePrefix="1" applyFont="1" applyFill="1" applyBorder="1" applyAlignment="1">
      <alignment horizontal="center" vertical="center" wrapText="1"/>
    </xf>
    <xf numFmtId="41" fontId="21" fillId="0" borderId="14" xfId="1" applyFont="1" applyFill="1" applyBorder="1" applyAlignment="1">
      <alignment horizontal="center" vertical="center"/>
    </xf>
    <xf numFmtId="9" fontId="21" fillId="0" borderId="14" xfId="2" quotePrefix="1" applyNumberFormat="1" applyFont="1" applyBorder="1" applyAlignment="1">
      <alignment horizontal="left" vertical="center" wrapText="1"/>
    </xf>
    <xf numFmtId="0" fontId="18" fillId="0" borderId="6" xfId="0" quotePrefix="1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0" fontId="22" fillId="3" borderId="0" xfId="2" applyFont="1" applyFill="1" applyAlignment="1" applyProtection="1">
      <alignment horizontal="center" vertical="center"/>
      <protection locked="0"/>
    </xf>
    <xf numFmtId="0" fontId="21" fillId="4" borderId="6" xfId="2" applyFont="1" applyFill="1" applyBorder="1" applyAlignment="1">
      <alignment horizontal="center" vertical="center"/>
    </xf>
    <xf numFmtId="0" fontId="21" fillId="4" borderId="12" xfId="2" applyFont="1" applyFill="1" applyBorder="1" applyAlignment="1">
      <alignment horizontal="center" vertical="center"/>
    </xf>
    <xf numFmtId="0" fontId="21" fillId="4" borderId="13" xfId="2" applyFont="1" applyFill="1" applyBorder="1" applyAlignment="1">
      <alignment horizontal="center" vertical="center"/>
    </xf>
    <xf numFmtId="0" fontId="32" fillId="0" borderId="14" xfId="0" quotePrefix="1" applyFont="1" applyBorder="1" applyAlignment="1">
      <alignment horizontal="left" vertical="center" wrapText="1"/>
    </xf>
    <xf numFmtId="0" fontId="32" fillId="0" borderId="14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</cellXfs>
  <cellStyles count="20">
    <cellStyle name="쉼표 [0]" xfId="1" builtinId="6"/>
    <cellStyle name="쉼표 [0] 2" xfId="13" xr:uid="{00000000-0005-0000-0000-000001000000}"/>
    <cellStyle name="스타일 1" xfId="7" xr:uid="{00000000-0005-0000-0000-000002000000}"/>
    <cellStyle name="표준" xfId="0" builtinId="0"/>
    <cellStyle name="표준 2" xfId="3" xr:uid="{00000000-0005-0000-0000-000004000000}"/>
    <cellStyle name="표준 2 2" xfId="6" xr:uid="{00000000-0005-0000-0000-000005000000}"/>
    <cellStyle name="표준 3" xfId="4" xr:uid="{00000000-0005-0000-0000-000006000000}"/>
    <cellStyle name="표준 3 2" xfId="14" xr:uid="{00000000-0005-0000-0000-000007000000}"/>
    <cellStyle name="표준 4" xfId="5" xr:uid="{00000000-0005-0000-0000-000008000000}"/>
    <cellStyle name="표준 5" xfId="8" xr:uid="{00000000-0005-0000-0000-000009000000}"/>
    <cellStyle name="표준 5 2" xfId="15" xr:uid="{00000000-0005-0000-0000-00000A000000}"/>
    <cellStyle name="표준 6" xfId="9" xr:uid="{00000000-0005-0000-0000-00000B000000}"/>
    <cellStyle name="표준 6 2" xfId="16" xr:uid="{00000000-0005-0000-0000-00000C000000}"/>
    <cellStyle name="표준 7" xfId="10" xr:uid="{00000000-0005-0000-0000-00000D000000}"/>
    <cellStyle name="표준 7 2" xfId="17" xr:uid="{00000000-0005-0000-0000-00000E000000}"/>
    <cellStyle name="표준 8" xfId="11" xr:uid="{00000000-0005-0000-0000-00000F000000}"/>
    <cellStyle name="표준 8 2" xfId="18" xr:uid="{00000000-0005-0000-0000-000010000000}"/>
    <cellStyle name="표준 9" xfId="12" xr:uid="{00000000-0005-0000-0000-000011000000}"/>
    <cellStyle name="표준 9 2" xfId="19" xr:uid="{00000000-0005-0000-0000-000012000000}"/>
    <cellStyle name="표준_제출용" xfId="2" xr:uid="{00000000-0005-0000-0000-000013000000}"/>
  </cellStyles>
  <dxfs count="0"/>
  <tableStyles count="0" defaultTableStyle="TableStyleMedium9" defaultPivotStyle="PivotStyleLight16"/>
  <colors>
    <mruColors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8"/>
  <sheetViews>
    <sheetView showGridLines="0" tabSelected="1" zoomScale="110" zoomScaleNormal="110" workbookViewId="0">
      <selection activeCell="I14" sqref="I14"/>
    </sheetView>
  </sheetViews>
  <sheetFormatPr defaultColWidth="8.8984375" defaultRowHeight="14.4"/>
  <cols>
    <col min="1" max="1" width="10.69921875" style="1" customWidth="1"/>
    <col min="2" max="2" width="10.59765625" style="1" customWidth="1"/>
    <col min="3" max="3" width="23.59765625" style="1" customWidth="1"/>
    <col min="4" max="4" width="2.296875" style="1" customWidth="1"/>
    <col min="5" max="5" width="5.296875" style="1" customWidth="1"/>
    <col min="6" max="6" width="9" style="1" customWidth="1"/>
    <col min="7" max="7" width="8.8984375" style="1" customWidth="1"/>
    <col min="8" max="8" width="11.59765625" style="1" customWidth="1"/>
    <col min="9" max="9" width="25.3984375" style="1" customWidth="1"/>
    <col min="10" max="10" width="10.69921875" style="1" bestFit="1" customWidth="1"/>
    <col min="11" max="16384" width="8.8984375" style="1"/>
  </cols>
  <sheetData>
    <row r="1" spans="1:10" s="2" customFormat="1" ht="29.25" customHeight="1">
      <c r="A1" s="68" t="s">
        <v>33</v>
      </c>
      <c r="B1" s="68"/>
      <c r="C1" s="68"/>
      <c r="D1" s="68"/>
      <c r="E1" s="68"/>
      <c r="F1" s="68"/>
      <c r="G1" s="68"/>
      <c r="H1" s="68"/>
      <c r="I1" s="68"/>
    </row>
    <row r="2" spans="1:10" s="2" customFormat="1" ht="16.5" customHeight="1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>
      <c r="A3" s="19" t="s">
        <v>32</v>
      </c>
      <c r="B3" s="21" t="s">
        <v>40</v>
      </c>
      <c r="C3" s="20"/>
      <c r="D3" s="26"/>
      <c r="E3" s="32" t="s">
        <v>31</v>
      </c>
      <c r="F3" s="33"/>
      <c r="G3" s="33"/>
      <c r="H3" s="33"/>
      <c r="I3" s="34"/>
    </row>
    <row r="4" spans="1:10" s="3" customFormat="1" ht="20.100000000000001" customHeight="1">
      <c r="A4" s="19" t="s">
        <v>30</v>
      </c>
      <c r="B4" s="21" t="s">
        <v>39</v>
      </c>
      <c r="C4" s="20"/>
      <c r="D4" s="26"/>
      <c r="E4" s="35" t="s">
        <v>29</v>
      </c>
      <c r="F4" s="10"/>
      <c r="G4" s="10"/>
      <c r="H4" s="10"/>
      <c r="I4" s="36"/>
    </row>
    <row r="5" spans="1:10" s="3" customFormat="1" ht="20.100000000000001" customHeight="1">
      <c r="A5" s="19" t="s">
        <v>28</v>
      </c>
      <c r="B5" s="21" t="s">
        <v>41</v>
      </c>
      <c r="C5" s="20"/>
      <c r="D5" s="26"/>
      <c r="E5" s="39" t="s">
        <v>27</v>
      </c>
      <c r="F5" s="10"/>
      <c r="G5" s="10"/>
      <c r="H5" s="10"/>
      <c r="I5" s="36"/>
    </row>
    <row r="6" spans="1:10" s="3" customFormat="1" ht="20.100000000000001" customHeight="1">
      <c r="A6" s="19" t="s">
        <v>26</v>
      </c>
      <c r="B6" s="21" t="s">
        <v>37</v>
      </c>
      <c r="C6" s="20"/>
      <c r="D6" s="26"/>
      <c r="E6" s="40" t="s">
        <v>25</v>
      </c>
      <c r="F6" s="37"/>
      <c r="G6" s="37"/>
      <c r="H6" s="37"/>
      <c r="I6" s="38"/>
    </row>
    <row r="7" spans="1:10" s="3" customFormat="1" ht="13.5" customHeight="1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>
      <c r="A8" s="22" t="s">
        <v>24</v>
      </c>
      <c r="B8" s="14" t="s">
        <v>42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>
      <c r="A9" s="23" t="s">
        <v>23</v>
      </c>
      <c r="B9" s="14" t="str">
        <f>TEXT(H16," 일금[DBNum4][$-412]G/표준원정") &amp; " (" &amp; DOLLAR(H16) &amp; " 부가세별도)"</f>
        <v xml:space="preserve"> 일금일백만원정 (₩1,000,000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>
      <c r="A10" s="27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>
      <c r="A11" s="27" t="s">
        <v>22</v>
      </c>
      <c r="B11" s="13"/>
      <c r="C11" s="13"/>
      <c r="D11" s="13"/>
      <c r="E11" s="9"/>
      <c r="F11" s="9"/>
      <c r="G11" s="9"/>
      <c r="H11" s="17"/>
      <c r="I11" s="18" t="s">
        <v>44</v>
      </c>
    </row>
    <row r="12" spans="1:10" s="5" customFormat="1" ht="27.75" customHeight="1">
      <c r="A12" s="24" t="s">
        <v>21</v>
      </c>
      <c r="B12" s="69" t="s">
        <v>20</v>
      </c>
      <c r="C12" s="70"/>
      <c r="D12" s="71"/>
      <c r="E12" s="25" t="s">
        <v>19</v>
      </c>
      <c r="F12" s="25" t="s">
        <v>18</v>
      </c>
      <c r="G12" s="25" t="s">
        <v>17</v>
      </c>
      <c r="H12" s="25" t="s">
        <v>16</v>
      </c>
      <c r="I12" s="25" t="s">
        <v>15</v>
      </c>
      <c r="J12" s="44"/>
    </row>
    <row r="13" spans="1:10" s="5" customFormat="1" ht="85.5" customHeight="1">
      <c r="A13" s="56" t="s">
        <v>34</v>
      </c>
      <c r="B13" s="72" t="s">
        <v>45</v>
      </c>
      <c r="C13" s="73"/>
      <c r="D13" s="73"/>
      <c r="E13" s="56">
        <v>2</v>
      </c>
      <c r="F13" s="57">
        <v>604342.82999999996</v>
      </c>
      <c r="G13" s="57">
        <v>500000</v>
      </c>
      <c r="H13" s="57">
        <f>SUM(E13:E13)*G13</f>
        <v>1000000</v>
      </c>
      <c r="I13" s="58" t="s">
        <v>43</v>
      </c>
      <c r="J13" s="31"/>
    </row>
    <row r="14" spans="1:10" s="5" customFormat="1" ht="24.75" customHeight="1">
      <c r="A14" s="78" t="s">
        <v>14</v>
      </c>
      <c r="B14" s="79"/>
      <c r="C14" s="79"/>
      <c r="D14" s="80"/>
      <c r="E14" s="53">
        <f>SUM(E13:E13)</f>
        <v>2</v>
      </c>
      <c r="F14" s="54"/>
      <c r="G14" s="54"/>
      <c r="H14" s="54">
        <f>SUM(H12:H13)</f>
        <v>1000000</v>
      </c>
      <c r="I14" s="55"/>
      <c r="J14" s="31"/>
    </row>
    <row r="15" spans="1:10" s="5" customFormat="1" ht="24.75" hidden="1" customHeight="1">
      <c r="A15" s="81" t="s">
        <v>35</v>
      </c>
      <c r="B15" s="82"/>
      <c r="C15" s="82"/>
      <c r="D15" s="83"/>
      <c r="E15" s="50"/>
      <c r="F15" s="51"/>
      <c r="G15" s="51"/>
      <c r="H15" s="51"/>
      <c r="I15" s="52"/>
      <c r="J15" s="31"/>
    </row>
    <row r="16" spans="1:10" s="5" customFormat="1" ht="24.75" customHeight="1">
      <c r="A16" s="84" t="s">
        <v>13</v>
      </c>
      <c r="B16" s="85"/>
      <c r="C16" s="85"/>
      <c r="D16" s="86"/>
      <c r="E16" s="43">
        <f>E14</f>
        <v>2</v>
      </c>
      <c r="F16" s="41"/>
      <c r="G16" s="41"/>
      <c r="H16" s="41">
        <f>H14+H15</f>
        <v>1000000</v>
      </c>
      <c r="I16" s="42"/>
      <c r="J16" s="31"/>
    </row>
    <row r="17" spans="1:10" s="4" customFormat="1" ht="14.25" customHeight="1">
      <c r="A17" s="27"/>
      <c r="B17" s="13"/>
      <c r="C17" s="13"/>
      <c r="D17" s="13"/>
      <c r="E17" s="9"/>
      <c r="F17" s="9"/>
      <c r="G17" s="9"/>
      <c r="H17" s="17"/>
      <c r="I17" s="18"/>
    </row>
    <row r="18" spans="1:10" s="3" customFormat="1" ht="64.5" customHeight="1">
      <c r="A18" s="46" t="s">
        <v>12</v>
      </c>
      <c r="B18" s="59" t="s">
        <v>36</v>
      </c>
      <c r="C18" s="60"/>
      <c r="D18" s="60"/>
      <c r="E18" s="60"/>
      <c r="F18" s="60"/>
      <c r="G18" s="60"/>
      <c r="H18" s="60"/>
      <c r="I18" s="61"/>
      <c r="J18" s="45"/>
    </row>
    <row r="19" spans="1:10" s="3" customFormat="1" ht="17.100000000000001" customHeight="1">
      <c r="A19" s="28"/>
      <c r="B19" s="77" t="s">
        <v>38</v>
      </c>
      <c r="C19" s="60"/>
      <c r="D19" s="60"/>
      <c r="E19" s="60"/>
      <c r="F19" s="60"/>
      <c r="G19" s="60"/>
      <c r="H19" s="60"/>
      <c r="I19" s="61"/>
    </row>
    <row r="20" spans="1:10" s="3" customFormat="1" ht="17.100000000000001" customHeight="1">
      <c r="A20" s="29" t="s">
        <v>11</v>
      </c>
      <c r="B20" s="62" t="s">
        <v>10</v>
      </c>
      <c r="C20" s="63"/>
      <c r="D20" s="63"/>
      <c r="E20" s="63"/>
      <c r="F20" s="63"/>
      <c r="G20" s="63"/>
      <c r="H20" s="63"/>
      <c r="I20" s="64"/>
    </row>
    <row r="21" spans="1:10" s="3" customFormat="1" ht="17.100000000000001" customHeight="1">
      <c r="A21" s="29"/>
      <c r="B21" s="62" t="s">
        <v>9</v>
      </c>
      <c r="C21" s="63"/>
      <c r="D21" s="63"/>
      <c r="E21" s="63"/>
      <c r="F21" s="63"/>
      <c r="G21" s="63"/>
      <c r="H21" s="63"/>
      <c r="I21" s="64"/>
    </row>
    <row r="22" spans="1:10" s="3" customFormat="1" ht="17.100000000000001" customHeight="1">
      <c r="A22" s="29"/>
      <c r="B22" s="65" t="s">
        <v>8</v>
      </c>
      <c r="C22" s="66"/>
      <c r="D22" s="66"/>
      <c r="E22" s="66"/>
      <c r="F22" s="66"/>
      <c r="G22" s="66"/>
      <c r="H22" s="66"/>
      <c r="I22" s="67"/>
    </row>
    <row r="23" spans="1:10" s="3" customFormat="1" ht="17.100000000000001" customHeight="1">
      <c r="A23" s="29"/>
      <c r="B23" s="62" t="s">
        <v>7</v>
      </c>
      <c r="C23" s="63"/>
      <c r="D23" s="63"/>
      <c r="E23" s="63"/>
      <c r="F23" s="63"/>
      <c r="G23" s="63"/>
      <c r="H23" s="63"/>
      <c r="I23" s="64"/>
    </row>
    <row r="24" spans="1:10" s="3" customFormat="1" ht="17.100000000000001" customHeight="1">
      <c r="A24" s="29"/>
      <c r="B24" s="65" t="s">
        <v>6</v>
      </c>
      <c r="C24" s="66"/>
      <c r="D24" s="66"/>
      <c r="E24" s="66"/>
      <c r="F24" s="66"/>
      <c r="G24" s="66"/>
      <c r="H24" s="66"/>
      <c r="I24" s="67"/>
    </row>
    <row r="25" spans="1:10" s="3" customFormat="1" ht="17.100000000000001" customHeight="1">
      <c r="A25" s="29"/>
      <c r="B25" s="65" t="s">
        <v>5</v>
      </c>
      <c r="C25" s="66"/>
      <c r="D25" s="66"/>
      <c r="E25" s="66"/>
      <c r="F25" s="66"/>
      <c r="G25" s="66"/>
      <c r="H25" s="66"/>
      <c r="I25" s="67"/>
    </row>
    <row r="26" spans="1:10" s="3" customFormat="1" ht="17.100000000000001" customHeight="1">
      <c r="A26" s="29"/>
      <c r="B26" s="47" t="s">
        <v>4</v>
      </c>
      <c r="C26" s="48"/>
      <c r="D26" s="48"/>
      <c r="E26" s="48"/>
      <c r="F26" s="48"/>
      <c r="G26" s="48"/>
      <c r="H26" s="48"/>
      <c r="I26" s="49"/>
    </row>
    <row r="27" spans="1:10" s="3" customFormat="1" ht="17.100000000000001" customHeight="1">
      <c r="A27" s="29"/>
      <c r="B27" s="62" t="s">
        <v>3</v>
      </c>
      <c r="C27" s="63"/>
      <c r="D27" s="63"/>
      <c r="E27" s="63"/>
      <c r="F27" s="63"/>
      <c r="G27" s="63"/>
      <c r="H27" s="63"/>
      <c r="I27" s="64"/>
    </row>
    <row r="28" spans="1:10" s="3" customFormat="1" ht="17.100000000000001" customHeight="1">
      <c r="A28" s="29"/>
      <c r="B28" s="62" t="s">
        <v>2</v>
      </c>
      <c r="C28" s="63"/>
      <c r="D28" s="63"/>
      <c r="E28" s="63"/>
      <c r="F28" s="63"/>
      <c r="G28" s="63"/>
      <c r="H28" s="63"/>
      <c r="I28" s="64"/>
    </row>
    <row r="29" spans="1:10" s="3" customFormat="1" ht="17.100000000000001" customHeight="1">
      <c r="A29" s="29"/>
      <c r="B29" s="62" t="s">
        <v>1</v>
      </c>
      <c r="C29" s="63"/>
      <c r="D29" s="63"/>
      <c r="E29" s="63"/>
      <c r="F29" s="63"/>
      <c r="G29" s="63"/>
      <c r="H29" s="63"/>
      <c r="I29" s="64"/>
    </row>
    <row r="30" spans="1:10" s="3" customFormat="1" ht="17.100000000000001" customHeight="1">
      <c r="A30" s="29"/>
      <c r="B30" s="62" t="s">
        <v>0</v>
      </c>
      <c r="C30" s="63"/>
      <c r="D30" s="63"/>
      <c r="E30" s="63"/>
      <c r="F30" s="63"/>
      <c r="G30" s="63"/>
      <c r="H30" s="63"/>
      <c r="I30" s="64"/>
    </row>
    <row r="31" spans="1:10" s="3" customFormat="1" ht="17.100000000000001" customHeight="1">
      <c r="A31" s="30"/>
      <c r="B31" s="74"/>
      <c r="C31" s="75"/>
      <c r="D31" s="75"/>
      <c r="E31" s="75"/>
      <c r="F31" s="75"/>
      <c r="G31" s="75"/>
      <c r="H31" s="75"/>
      <c r="I31" s="76"/>
    </row>
    <row r="32" spans="1:10" customFormat="1" ht="15.9" customHeigh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9">
    <mergeCell ref="B31:I31"/>
    <mergeCell ref="B19:I19"/>
    <mergeCell ref="B20:I20"/>
    <mergeCell ref="A14:D14"/>
    <mergeCell ref="B30:I30"/>
    <mergeCell ref="B22:I22"/>
    <mergeCell ref="B29:I29"/>
    <mergeCell ref="A15:D15"/>
    <mergeCell ref="B23:I23"/>
    <mergeCell ref="B28:I28"/>
    <mergeCell ref="B24:I24"/>
    <mergeCell ref="B27:I27"/>
    <mergeCell ref="A16:D16"/>
    <mergeCell ref="B18:I18"/>
    <mergeCell ref="B21:I21"/>
    <mergeCell ref="B25:I25"/>
    <mergeCell ref="A1:I1"/>
    <mergeCell ref="B12:D12"/>
    <mergeCell ref="B13:D13"/>
  </mergeCells>
  <phoneticPr fontId="34" type="noConversion"/>
  <dataValidations count="1">
    <dataValidation allowBlank="1" showInputMessage="1" showErrorMessage="1" promptTitle="견적금액 표시" prompt="공급금액 합계(VAT별도)를 견적금액(VAT별도) 한글로 자동변환 표시" sqref="B8:H9" xr:uid="{00000000-0002-0000-0000-000000000000}"/>
  </dataValidations>
  <pageMargins left="0.31496062992125984" right="0.23622047244094491" top="0.33" bottom="0.25" header="0.26" footer="0.17"/>
  <pageSetup paperSize="9" scale="8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2020-09-10T23:14:44Z</cp:lastPrinted>
  <dcterms:created xsi:type="dcterms:W3CDTF">2001-05-22T00:47:40Z</dcterms:created>
  <dcterms:modified xsi:type="dcterms:W3CDTF">2024-10-24T05:46:20Z</dcterms:modified>
</cp:coreProperties>
</file>