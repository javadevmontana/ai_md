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ey-WORK11\BuzzDownloads\"/>
    </mc:Choice>
  </mc:AlternateContent>
  <bookViews>
    <workbookView xWindow="0" yWindow="0" windowWidth="37230" windowHeight="18375"/>
  </bookViews>
  <sheets>
    <sheet name="견적서" sheetId="2" r:id="rId1"/>
  </sheets>
  <definedNames>
    <definedName name="_xlnm.Print_Area" localSheetId="0">견적서!$A$1:$I$31</definedName>
  </definedNames>
  <calcPr calcId="152511"/>
</workbook>
</file>

<file path=xl/calcChain.xml><?xml version="1.0" encoding="utf-8"?>
<calcChain xmlns="http://schemas.openxmlformats.org/spreadsheetml/2006/main">
  <c r="E15" i="2" l="1"/>
  <c r="H14" i="2"/>
  <c r="H15" i="2" l="1"/>
  <c r="H16" i="2" s="1"/>
  <c r="B10" i="2" l="1"/>
  <c r="E16" i="2"/>
</calcChain>
</file>

<file path=xl/sharedStrings.xml><?xml version="1.0" encoding="utf-8"?>
<sst xmlns="http://schemas.openxmlformats.org/spreadsheetml/2006/main" count="44" uniqueCount="44">
  <si>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</si>
  <si>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</si>
  <si>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</si>
  <si>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</si>
  <si>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</si>
  <si>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</si>
  <si>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</si>
  <si>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</si>
  <si>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</si>
  <si>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</si>
  <si>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</si>
  <si>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</si>
  <si>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</si>
  <si>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</si>
  <si>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</si>
  <si>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</si>
  <si>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</si>
  <si>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</si>
  <si>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</si>
  <si>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</si>
  <si>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</si>
  <si>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</si>
  <si>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</si>
  <si>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</si>
  <si>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</si>
  <si>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</si>
  <si>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</si>
  <si>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</si>
  <si>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</si>
  <si>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</si>
  <si>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</si>
  <si>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</si>
  <si>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</si>
  <si>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</si>
  <si>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</si>
  <si>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</si>
  <si>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</si>
  <si>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운영지원부문  김형준 이사 (kimhj@bizwell.net)  /  070-4616-5049  /  010-6565-9047</t>
    <phoneticPr fontId="6" type="noConversion"/>
  </si>
  <si>
    <t>개발비</t>
    <phoneticPr fontId="6" type="noConversion"/>
  </si>
  <si>
    <t xml:space="preserve"> 전기연구원 귀중</t>
    <phoneticPr fontId="6" type="noConversion"/>
  </si>
  <si>
    <t xml:space="preserve"> 2023. 03. 06</t>
    <phoneticPr fontId="6" type="noConversion"/>
  </si>
  <si>
    <t xml:space="preserve">  메일솔루션 안읽은메일 연동</t>
    <phoneticPr fontId="6" type="noConversion"/>
  </si>
  <si>
    <t xml:space="preserve"> 2023-한국전기연구원-D01</t>
    <phoneticPr fontId="6" type="noConversion"/>
  </si>
  <si>
    <t>- 메일솔루션 안읽은메일 연동
→ KERI SDK사용
→ 비즈니스 로직 외 화면 신규 개발
    (리스팅 페이징 및 조회 기능 포함)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</si>
</sst>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9" fontId="28" fillId="0" borderId="5" xfId="2" quotePrefix="1" applyNumberFormat="1" applyFont="1" applyFill="1" applyBorder="1" applyAlignment="1">
      <alignment horizontal="left" vertical="center" wrapText="1"/>
    </xf>
    <xf numFmtId="0" fontId="17" fillId="2" borderId="1" xfId="1" quotePrefix="1" applyNumberFormat="1" applyFont="1" applyFill="1" applyBorder="1" applyAlignment="1" applyProtection="1">
      <alignment vertical="center"/>
    </xf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left" vertical="center" wrapText="1"/>
    </xf>
    <xf numFmtId="0" fontId="19" fillId="0" borderId="2" xfId="0" quotePrefix="1" applyFont="1" applyFill="1" applyBorder="1" applyAlignment="1">
      <alignment horizontal="left" vertical="center" wrapText="1"/>
    </xf>
    <xf numFmtId="0" fontId="19" fillId="0" borderId="3" xfId="0" quotePrefix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zoomScaleNormal="100" workbookViewId="0">
      <selection activeCell="H14" sqref="H14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58" t="s">
        <v>14</v>
      </c>
      <c r="B2" s="58"/>
      <c r="C2" s="58"/>
      <c r="D2" s="58"/>
      <c r="E2" s="58"/>
      <c r="F2" s="58"/>
      <c r="G2" s="58"/>
      <c r="H2" s="58"/>
      <c r="I2" s="58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42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39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40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57" t="s">
        <v>41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일금이백오십만원정 (₩2,500,000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59" t="s">
        <v>1</v>
      </c>
      <c r="C13" s="60"/>
      <c r="D13" s="61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64.5" customHeight="1" x14ac:dyDescent="0.15">
      <c r="A14" s="55" t="s">
        <v>38</v>
      </c>
      <c r="B14" s="65" t="s">
        <v>43</v>
      </c>
      <c r="C14" s="66"/>
      <c r="D14" s="67"/>
      <c r="E14" s="53">
        <v>5</v>
      </c>
      <c r="F14" s="52">
        <v>654512</v>
      </c>
      <c r="G14" s="52">
        <v>500000</v>
      </c>
      <c r="H14" s="51">
        <f t="shared" ref="H14" si="0">SUM(E14:E14)*G14</f>
        <v>2500000</v>
      </c>
      <c r="I14" s="56"/>
      <c r="J14" s="36"/>
    </row>
    <row r="15" spans="1:10" s="7" customFormat="1" ht="27.75" customHeight="1" x14ac:dyDescent="0.15">
      <c r="A15" s="62" t="s">
        <v>32</v>
      </c>
      <c r="B15" s="63"/>
      <c r="C15" s="63"/>
      <c r="D15" s="64"/>
      <c r="E15" s="54" t="str">
        <f>(SUM(E14:E14))&amp;"MD"</f>
        <v>5MD</v>
      </c>
      <c r="F15" s="46"/>
      <c r="G15" s="46"/>
      <c r="H15" s="46">
        <f>SUM(H14:H14)</f>
        <v>2500000</v>
      </c>
      <c r="I15" s="47"/>
      <c r="J15" s="36"/>
    </row>
    <row r="16" spans="1:10" s="7" customFormat="1" ht="27.75" customHeight="1" x14ac:dyDescent="0.15">
      <c r="A16" s="62" t="s">
        <v>33</v>
      </c>
      <c r="B16" s="63"/>
      <c r="C16" s="63"/>
      <c r="D16" s="64"/>
      <c r="E16" s="54" t="str">
        <f>E15</f>
        <v>5MD</v>
      </c>
      <c r="F16" s="46"/>
      <c r="G16" s="46"/>
      <c r="H16" s="46">
        <f>H15</f>
        <v>2500000</v>
      </c>
      <c r="I16" s="47"/>
      <c r="J16" s="36"/>
    </row>
    <row r="17" spans="1:9" s="6" customFormat="1" ht="14.25" customHeight="1" x14ac:dyDescent="0.25">
      <c r="A17" s="30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 x14ac:dyDescent="0.15">
      <c r="A18" s="31" t="s">
        <v>11</v>
      </c>
      <c r="B18" s="74" t="s">
        <v>35</v>
      </c>
      <c r="C18" s="75"/>
      <c r="D18" s="75"/>
      <c r="E18" s="75"/>
      <c r="F18" s="75"/>
      <c r="G18" s="75"/>
      <c r="H18" s="75"/>
      <c r="I18" s="76"/>
    </row>
    <row r="19" spans="1:9" s="5" customFormat="1" ht="17.100000000000001" customHeight="1" x14ac:dyDescent="0.15">
      <c r="A19" s="32"/>
      <c r="B19" s="77" t="s">
        <v>36</v>
      </c>
      <c r="C19" s="78"/>
      <c r="D19" s="78"/>
      <c r="E19" s="78"/>
      <c r="F19" s="78"/>
      <c r="G19" s="78"/>
      <c r="H19" s="78"/>
      <c r="I19" s="79"/>
    </row>
    <row r="20" spans="1:9" s="5" customFormat="1" ht="17.100000000000001" customHeight="1" x14ac:dyDescent="0.15">
      <c r="A20" s="32"/>
      <c r="B20" s="77" t="s">
        <v>22</v>
      </c>
      <c r="C20" s="78"/>
      <c r="D20" s="78"/>
      <c r="E20" s="78"/>
      <c r="F20" s="78"/>
      <c r="G20" s="78"/>
      <c r="H20" s="78"/>
      <c r="I20" s="79"/>
    </row>
    <row r="21" spans="1:9" s="5" customFormat="1" ht="17.100000000000001" customHeight="1" x14ac:dyDescent="0.15">
      <c r="A21" s="32"/>
      <c r="B21" s="80" t="s">
        <v>28</v>
      </c>
      <c r="C21" s="81"/>
      <c r="D21" s="81"/>
      <c r="E21" s="81"/>
      <c r="F21" s="81"/>
      <c r="G21" s="81"/>
      <c r="H21" s="81"/>
      <c r="I21" s="82"/>
    </row>
    <row r="22" spans="1:9" s="5" customFormat="1" ht="17.100000000000001" customHeight="1" x14ac:dyDescent="0.15">
      <c r="A22" s="32"/>
      <c r="B22" s="77" t="s">
        <v>20</v>
      </c>
      <c r="C22" s="78"/>
      <c r="D22" s="78"/>
      <c r="E22" s="78"/>
      <c r="F22" s="78"/>
      <c r="G22" s="78"/>
      <c r="H22" s="78"/>
      <c r="I22" s="79"/>
    </row>
    <row r="23" spans="1:9" s="5" customFormat="1" ht="17.100000000000001" customHeight="1" x14ac:dyDescent="0.15">
      <c r="A23" s="32"/>
      <c r="B23" s="80" t="s">
        <v>21</v>
      </c>
      <c r="C23" s="81"/>
      <c r="D23" s="81"/>
      <c r="E23" s="81"/>
      <c r="F23" s="81"/>
      <c r="G23" s="81"/>
      <c r="H23" s="81"/>
      <c r="I23" s="82"/>
    </row>
    <row r="24" spans="1:9" s="5" customFormat="1" ht="17.100000000000001" customHeight="1" x14ac:dyDescent="0.15">
      <c r="A24" s="32"/>
      <c r="B24" s="80" t="s">
        <v>23</v>
      </c>
      <c r="C24" s="81"/>
      <c r="D24" s="81"/>
      <c r="E24" s="81"/>
      <c r="F24" s="81"/>
      <c r="G24" s="81"/>
      <c r="H24" s="81"/>
      <c r="I24" s="82"/>
    </row>
    <row r="25" spans="1:9" s="5" customFormat="1" ht="17.100000000000001" customHeight="1" x14ac:dyDescent="0.15">
      <c r="A25" s="32"/>
      <c r="B25" s="48" t="s">
        <v>24</v>
      </c>
      <c r="C25" s="49"/>
      <c r="D25" s="49"/>
      <c r="E25" s="49"/>
      <c r="F25" s="49"/>
      <c r="G25" s="49"/>
      <c r="H25" s="49"/>
      <c r="I25" s="50"/>
    </row>
    <row r="26" spans="1:9" s="5" customFormat="1" ht="17.100000000000001" customHeight="1" x14ac:dyDescent="0.15">
      <c r="A26" s="32"/>
      <c r="B26" s="77" t="s">
        <v>25</v>
      </c>
      <c r="C26" s="78"/>
      <c r="D26" s="78"/>
      <c r="E26" s="78"/>
      <c r="F26" s="78"/>
      <c r="G26" s="78"/>
      <c r="H26" s="78"/>
      <c r="I26" s="79"/>
    </row>
    <row r="27" spans="1:9" s="5" customFormat="1" ht="17.100000000000001" customHeight="1" x14ac:dyDescent="0.15">
      <c r="A27" s="32"/>
      <c r="B27" s="77" t="s">
        <v>31</v>
      </c>
      <c r="C27" s="78"/>
      <c r="D27" s="78"/>
      <c r="E27" s="78"/>
      <c r="F27" s="78"/>
      <c r="G27" s="78"/>
      <c r="H27" s="78"/>
      <c r="I27" s="79"/>
    </row>
    <row r="28" spans="1:9" s="5" customFormat="1" ht="17.100000000000001" customHeight="1" x14ac:dyDescent="0.15">
      <c r="A28" s="32"/>
      <c r="B28" s="77" t="s">
        <v>26</v>
      </c>
      <c r="C28" s="78"/>
      <c r="D28" s="78"/>
      <c r="E28" s="78"/>
      <c r="F28" s="78"/>
      <c r="G28" s="78"/>
      <c r="H28" s="78"/>
      <c r="I28" s="79"/>
    </row>
    <row r="29" spans="1:9" s="5" customFormat="1" ht="17.100000000000001" customHeight="1" x14ac:dyDescent="0.15">
      <c r="A29" s="32"/>
      <c r="B29" s="77" t="s">
        <v>27</v>
      </c>
      <c r="C29" s="78"/>
      <c r="D29" s="78"/>
      <c r="E29" s="78"/>
      <c r="F29" s="78"/>
      <c r="G29" s="78"/>
      <c r="H29" s="78"/>
      <c r="I29" s="79"/>
    </row>
    <row r="30" spans="1:9" s="5" customFormat="1" ht="17.100000000000001" customHeight="1" x14ac:dyDescent="0.15">
      <c r="A30" s="33"/>
      <c r="B30" s="71"/>
      <c r="C30" s="72"/>
      <c r="D30" s="72"/>
      <c r="E30" s="72"/>
      <c r="F30" s="72"/>
      <c r="G30" s="72"/>
      <c r="H30" s="72"/>
      <c r="I30" s="73"/>
    </row>
    <row r="31" spans="1:9" s="35" customFormat="1" ht="18.75" customHeight="1" x14ac:dyDescent="0.15">
      <c r="A31" s="34" t="s">
        <v>12</v>
      </c>
      <c r="B31" s="68" t="s">
        <v>37</v>
      </c>
      <c r="C31" s="69"/>
      <c r="D31" s="69"/>
      <c r="E31" s="69"/>
      <c r="F31" s="69"/>
      <c r="G31" s="69"/>
      <c r="H31" s="69"/>
      <c r="I31" s="70"/>
    </row>
    <row r="32" spans="1:9" customFormat="1" ht="15.95" customHeight="1" x14ac:dyDescent="0.15"/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  <mergeCell ref="A2:I2"/>
    <mergeCell ref="B13:D13"/>
    <mergeCell ref="A15:D15"/>
    <mergeCell ref="B14:D14"/>
    <mergeCell ref="A16:D16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2020-09-16T08:21:47Z</cp:lastPrinted>
  <dcterms:created xsi:type="dcterms:W3CDTF">2001-05-22T00:47:40Z</dcterms:created>
  <dcterms:modified xsi:type="dcterms:W3CDTF">2023-03-06T08:02:41Z</dcterms:modified>
</cp:coreProperties>
</file>