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고객사이트\광주은행\개선\2022\1109_SMS오락실\"/>
    </mc:Choice>
  </mc:AlternateContent>
  <bookViews>
    <workbookView xWindow="0" yWindow="0" windowWidth="19200" windowHeight="8505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6" i="2" l="1"/>
  <c r="B10" i="2" l="1"/>
</calcChain>
</file>

<file path=xl/sharedStrings.xml><?xml version="1.0" encoding="utf-8"?>
<sst xmlns="http://schemas.openxmlformats.org/spreadsheetml/2006/main" count="49" uniqueCount="49">
  <si>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</si>
  <si>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</si>
  <si>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</si>
  <si>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내   용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</si>
  <si>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</si>
  <si>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</si>
  <si>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</si>
  <si>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</si>
  <si>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</si>
  <si>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</si>
  <si>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</si>
  <si>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</si>
  <si>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</si>
  <si>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</si>
  <si>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</si>
  <si>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</si>
  <si>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</si>
  <si>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</si>
  <si>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</si>
  <si>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</si>
  <si>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</si>
  <si>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</si>
  <si>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</si>
  <si>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</si>
  <si>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개발비</t>
    <phoneticPr fontId="2" type="noConversion"/>
  </si>
  <si>
    <t>※ SW노임단가는 2014년 소프트웨어 기술자 노임대가 기준입니다. (제경비 110%, 기술료 30% 산정)</t>
    <phoneticPr fontId="2" type="noConversion"/>
  </si>
  <si>
    <t>참조 사항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</si>
  <si>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</si>
  <si>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</si>
  <si>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</si>
  <si>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</si>
  <si>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</si>
  <si>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</si>
  <si>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</si>
  <si>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</si>
  <si>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</si>
  <si>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</si>
  <si>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</si>
  <si>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>광주은행 귀증</t>
    <phoneticPr fontId="2" type="noConversion"/>
  </si>
  <si>
    <t>결재</t>
    <phoneticPr fontId="2" type="noConversion"/>
  </si>
  <si>
    <t xml:space="preserve"> 기술지원팀  김형준 이사  (kimhj@bizwell.net)  /  070-4616-5049  /  010-6565-9047   </t>
    <phoneticPr fontId="21" type="noConversion"/>
  </si>
  <si>
    <t>취약성 보완을 위한 SMS 인증 기능
 사번 기반 SMS 발송 화면 및 임시비밀번호 발급관리
 인증확인 및 비밀번호 변경 기능</t>
    <phoneticPr fontId="2" type="noConversion"/>
  </si>
  <si>
    <t>8MD</t>
    <phoneticPr fontId="2" type="noConversion"/>
  </si>
  <si>
    <t>오락실 메뉴생성
- 다른 자원유형과 트리 분리 및 관리기능</t>
    <phoneticPr fontId="2" type="noConversion"/>
  </si>
  <si>
    <t>3MD</t>
    <phoneticPr fontId="2" type="noConversion"/>
  </si>
  <si>
    <t>취약성 보완을 위한 SMS 인증 기능&amp;오락실자원분리</t>
    <phoneticPr fontId="2" type="noConversion"/>
  </si>
  <si>
    <t>2022.11.09</t>
    <phoneticPr fontId="2" type="noConversion"/>
  </si>
  <si>
    <t xml:space="preserve"> 2022-광주은행-D06</t>
    <phoneticPr fontId="2" type="noConversion"/>
  </si>
  <si>
    <t>자원관리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</si>
</sst>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8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41" fontId="15" fillId="4" borderId="5" xfId="1" applyNumberFormat="1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4" xfId="2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2" xfId="2" applyFont="1" applyFill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41" fontId="15" fillId="2" borderId="12" xfId="1" applyFont="1" applyFill="1" applyBorder="1" applyAlignment="1">
      <alignment horizontal="center" vertical="center"/>
    </xf>
    <xf numFmtId="9" fontId="15" fillId="0" borderId="12" xfId="0" applyNumberFormat="1" applyFont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2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3" xfId="0" applyBorder="1"/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6" xfId="2" applyFont="1" applyFill="1" applyBorder="1" applyAlignment="1">
      <alignment horizontal="center" vertical="center"/>
    </xf>
    <xf numFmtId="0" fontId="15" fillId="4" borderId="15" xfId="2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5" fillId="0" borderId="19" xfId="2" quotePrefix="1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abSelected="1" zoomScaleNormal="100" workbookViewId="0">
      <selection activeCell="H15" sqref="H15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2.1093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9" width="10.77734375" style="1" customWidth="1"/>
    <col min="10" max="10" width="10.6640625" style="1" bestFit="1" customWidth="1"/>
    <col min="11" max="16384" width="8.886718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15">
      <c r="A2" s="67" t="s">
        <v>18</v>
      </c>
      <c r="B2" s="67"/>
      <c r="C2" s="67"/>
      <c r="D2" s="67"/>
      <c r="E2" s="67"/>
      <c r="F2" s="67"/>
      <c r="G2" s="67"/>
      <c r="H2" s="67"/>
      <c r="I2" s="67"/>
    </row>
    <row r="3" spans="1:11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15">
      <c r="A4" s="21" t="s">
        <v>8</v>
      </c>
      <c r="B4" s="23" t="s">
        <v>47</v>
      </c>
      <c r="C4" s="22"/>
      <c r="D4" s="28"/>
      <c r="E4" s="36" t="s">
        <v>7</v>
      </c>
      <c r="F4" s="37"/>
      <c r="G4" s="37"/>
      <c r="H4" s="37"/>
      <c r="I4" s="38"/>
    </row>
    <row r="5" spans="1:11" s="5" customFormat="1" ht="20.100000000000001" customHeight="1" x14ac:dyDescent="0.15">
      <c r="A5" s="21" t="s">
        <v>9</v>
      </c>
      <c r="B5" s="23" t="s">
        <v>38</v>
      </c>
      <c r="C5" s="22"/>
      <c r="D5" s="28"/>
      <c r="E5" s="39" t="s">
        <v>19</v>
      </c>
      <c r="F5" s="29"/>
      <c r="G5" s="29"/>
      <c r="H5" s="29"/>
      <c r="I5" s="40"/>
    </row>
    <row r="6" spans="1:11" s="5" customFormat="1" ht="20.100000000000001" customHeight="1" x14ac:dyDescent="0.15">
      <c r="A6" s="21" t="s">
        <v>10</v>
      </c>
      <c r="B6" s="23" t="s">
        <v>46</v>
      </c>
      <c r="C6" s="22"/>
      <c r="D6" s="28"/>
      <c r="E6" s="39" t="s">
        <v>23</v>
      </c>
      <c r="F6" s="29"/>
      <c r="G6" s="29"/>
      <c r="H6" s="29"/>
      <c r="I6" s="40"/>
    </row>
    <row r="7" spans="1:11" s="5" customFormat="1" ht="20.100000000000001" customHeight="1" x14ac:dyDescent="0.15">
      <c r="A7" s="21" t="s">
        <v>11</v>
      </c>
      <c r="B7" s="23" t="s">
        <v>0</v>
      </c>
      <c r="C7" s="22"/>
      <c r="D7" s="28"/>
      <c r="E7" s="41" t="s">
        <v>17</v>
      </c>
      <c r="F7" s="42"/>
      <c r="G7" s="42"/>
      <c r="H7" s="42"/>
      <c r="I7" s="43"/>
    </row>
    <row r="8" spans="1:11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15">
      <c r="A9" s="24" t="s">
        <v>13</v>
      </c>
      <c r="B9" s="16" t="s">
        <v>45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15">
      <c r="A10" s="25" t="s">
        <v>20</v>
      </c>
      <c r="B10" s="16" t="str">
        <f>TEXT(H16," 일금[DBNum4][$-412]G/표준원정") &amp; " (" &amp; DOLLAR(H16) &amp; " 부가세별도)"</f>
        <v xml:space="preserve"> 일금오백오십만원정 (₩5,500,000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25">
      <c r="A12" s="30" t="s">
        <v>14</v>
      </c>
      <c r="B12" s="15"/>
      <c r="C12" s="15"/>
      <c r="D12" s="15"/>
      <c r="E12" s="11"/>
      <c r="F12" s="11"/>
      <c r="G12" s="11"/>
      <c r="H12" s="19"/>
      <c r="I12" s="20" t="s">
        <v>12</v>
      </c>
    </row>
    <row r="13" spans="1:11" s="7" customFormat="1" ht="20.100000000000001" customHeight="1" x14ac:dyDescent="0.15">
      <c r="A13" s="26" t="s">
        <v>1</v>
      </c>
      <c r="B13" s="26" t="s">
        <v>2</v>
      </c>
      <c r="C13" s="68" t="s">
        <v>3</v>
      </c>
      <c r="D13" s="69"/>
      <c r="E13" s="27" t="s">
        <v>4</v>
      </c>
      <c r="F13" s="27" t="s">
        <v>15</v>
      </c>
      <c r="G13" s="27" t="s">
        <v>5</v>
      </c>
      <c r="H13" s="27" t="s">
        <v>6</v>
      </c>
      <c r="I13" s="27" t="s">
        <v>16</v>
      </c>
    </row>
    <row r="14" spans="1:11" s="7" customFormat="1" ht="64.5" customHeight="1" x14ac:dyDescent="0.15">
      <c r="A14" s="78" t="s">
        <v>24</v>
      </c>
      <c r="B14" s="44" t="s">
        <v>39</v>
      </c>
      <c r="C14" s="76" t="s">
        <v>41</v>
      </c>
      <c r="D14" s="77"/>
      <c r="E14" s="45" t="s">
        <v>42</v>
      </c>
      <c r="F14" s="48">
        <v>604342.82999999996</v>
      </c>
      <c r="G14" s="48">
        <v>4000000</v>
      </c>
      <c r="H14" s="46">
        <v>4000000</v>
      </c>
      <c r="I14" s="47"/>
    </row>
    <row r="15" spans="1:11" s="7" customFormat="1" ht="43.5" customHeight="1" x14ac:dyDescent="0.15">
      <c r="A15" s="79"/>
      <c r="B15" s="44" t="s">
        <v>48</v>
      </c>
      <c r="C15" s="76" t="s">
        <v>43</v>
      </c>
      <c r="D15" s="77"/>
      <c r="E15" s="45" t="s">
        <v>44</v>
      </c>
      <c r="F15" s="48">
        <v>604342.82999999996</v>
      </c>
      <c r="G15" s="48">
        <v>500000</v>
      </c>
      <c r="H15" s="46">
        <v>1500000</v>
      </c>
      <c r="I15" s="47"/>
      <c r="K15" s="35"/>
    </row>
    <row r="16" spans="1:11" s="7" customFormat="1" ht="20.100000000000001" customHeight="1" x14ac:dyDescent="0.15">
      <c r="A16" s="73" t="s">
        <v>21</v>
      </c>
      <c r="B16" s="74"/>
      <c r="C16" s="74"/>
      <c r="D16" s="75"/>
      <c r="E16" s="31"/>
      <c r="F16" s="32"/>
      <c r="G16" s="32"/>
      <c r="H16" s="32">
        <f>SUM(H14,H15)</f>
        <v>5500000</v>
      </c>
      <c r="I16" s="31"/>
      <c r="J16" s="35"/>
    </row>
    <row r="17" spans="1:9" s="5" customFormat="1" ht="17.100000000000001" customHeight="1" x14ac:dyDescent="0.15">
      <c r="A17" s="49"/>
      <c r="B17" s="70" t="s">
        <v>25</v>
      </c>
      <c r="C17" s="71"/>
      <c r="D17" s="71"/>
      <c r="E17" s="71"/>
      <c r="F17" s="71"/>
      <c r="G17" s="71"/>
      <c r="H17" s="71"/>
      <c r="I17" s="72"/>
    </row>
    <row r="18" spans="1:9" s="5" customFormat="1" ht="17.100000000000001" customHeight="1" x14ac:dyDescent="0.15">
      <c r="A18" s="50" t="s">
        <v>26</v>
      </c>
      <c r="B18" s="58" t="s">
        <v>27</v>
      </c>
      <c r="C18" s="59"/>
      <c r="D18" s="59"/>
      <c r="E18" s="59"/>
      <c r="F18" s="59"/>
      <c r="G18" s="59"/>
      <c r="H18" s="59"/>
      <c r="I18" s="60"/>
    </row>
    <row r="19" spans="1:9" s="5" customFormat="1" ht="17.100000000000001" customHeight="1" x14ac:dyDescent="0.15">
      <c r="A19" s="50"/>
      <c r="B19" s="58" t="s">
        <v>28</v>
      </c>
      <c r="C19" s="59"/>
      <c r="D19" s="59"/>
      <c r="E19" s="59"/>
      <c r="F19" s="59"/>
      <c r="G19" s="59"/>
      <c r="H19" s="59"/>
      <c r="I19" s="60"/>
    </row>
    <row r="20" spans="1:9" s="5" customFormat="1" ht="17.100000000000001" customHeight="1" x14ac:dyDescent="0.15">
      <c r="A20" s="50"/>
      <c r="B20" s="64" t="s">
        <v>29</v>
      </c>
      <c r="C20" s="65"/>
      <c r="D20" s="65"/>
      <c r="E20" s="65"/>
      <c r="F20" s="65"/>
      <c r="G20" s="65"/>
      <c r="H20" s="65"/>
      <c r="I20" s="66"/>
    </row>
    <row r="21" spans="1:9" s="5" customFormat="1" ht="17.100000000000001" customHeight="1" x14ac:dyDescent="0.15">
      <c r="A21" s="50"/>
      <c r="B21" s="58" t="s">
        <v>30</v>
      </c>
      <c r="C21" s="59"/>
      <c r="D21" s="59"/>
      <c r="E21" s="59"/>
      <c r="F21" s="59"/>
      <c r="G21" s="59"/>
      <c r="H21" s="59"/>
      <c r="I21" s="60"/>
    </row>
    <row r="22" spans="1:9" s="5" customFormat="1" ht="17.100000000000001" customHeight="1" x14ac:dyDescent="0.15">
      <c r="A22" s="50"/>
      <c r="B22" s="64" t="s">
        <v>31</v>
      </c>
      <c r="C22" s="65"/>
      <c r="D22" s="65"/>
      <c r="E22" s="65"/>
      <c r="F22" s="65"/>
      <c r="G22" s="65"/>
      <c r="H22" s="65"/>
      <c r="I22" s="66"/>
    </row>
    <row r="23" spans="1:9" s="5" customFormat="1" ht="17.100000000000001" customHeight="1" x14ac:dyDescent="0.15">
      <c r="A23" s="50"/>
      <c r="B23" s="64" t="s">
        <v>32</v>
      </c>
      <c r="C23" s="65"/>
      <c r="D23" s="65"/>
      <c r="E23" s="65"/>
      <c r="F23" s="65"/>
      <c r="G23" s="65"/>
      <c r="H23" s="65"/>
      <c r="I23" s="66"/>
    </row>
    <row r="24" spans="1:9" s="5" customFormat="1" ht="17.100000000000001" customHeight="1" x14ac:dyDescent="0.15">
      <c r="A24" s="50"/>
      <c r="B24" s="51" t="s">
        <v>33</v>
      </c>
      <c r="C24" s="52"/>
      <c r="D24" s="52"/>
      <c r="E24" s="52"/>
      <c r="F24" s="52"/>
      <c r="G24" s="52"/>
      <c r="H24" s="52"/>
      <c r="I24" s="53"/>
    </row>
    <row r="25" spans="1:9" s="5" customFormat="1" ht="17.100000000000001" customHeight="1" x14ac:dyDescent="0.15">
      <c r="A25" s="50"/>
      <c r="B25" s="58" t="s">
        <v>34</v>
      </c>
      <c r="C25" s="59"/>
      <c r="D25" s="59"/>
      <c r="E25" s="59"/>
      <c r="F25" s="59"/>
      <c r="G25" s="59"/>
      <c r="H25" s="59"/>
      <c r="I25" s="60"/>
    </row>
    <row r="26" spans="1:9" s="5" customFormat="1" ht="17.100000000000001" customHeight="1" x14ac:dyDescent="0.15">
      <c r="A26" s="50"/>
      <c r="B26" s="58" t="s">
        <v>35</v>
      </c>
      <c r="C26" s="59"/>
      <c r="D26" s="59"/>
      <c r="E26" s="59"/>
      <c r="F26" s="59"/>
      <c r="G26" s="59"/>
      <c r="H26" s="59"/>
      <c r="I26" s="60"/>
    </row>
    <row r="27" spans="1:9" s="5" customFormat="1" ht="17.100000000000001" customHeight="1" x14ac:dyDescent="0.15">
      <c r="A27" s="50"/>
      <c r="B27" s="58" t="s">
        <v>36</v>
      </c>
      <c r="C27" s="59"/>
      <c r="D27" s="59"/>
      <c r="E27" s="59"/>
      <c r="F27" s="59"/>
      <c r="G27" s="59"/>
      <c r="H27" s="59"/>
      <c r="I27" s="60"/>
    </row>
    <row r="28" spans="1:9" s="5" customFormat="1" ht="17.100000000000001" customHeight="1" x14ac:dyDescent="0.15">
      <c r="A28" s="50"/>
      <c r="B28" s="58" t="s">
        <v>37</v>
      </c>
      <c r="C28" s="59"/>
      <c r="D28" s="59"/>
      <c r="E28" s="59"/>
      <c r="F28" s="59"/>
      <c r="G28" s="59"/>
      <c r="H28" s="59"/>
      <c r="I28" s="60"/>
    </row>
    <row r="29" spans="1:9" s="5" customFormat="1" ht="17.100000000000001" customHeight="1" x14ac:dyDescent="0.15">
      <c r="A29" s="54"/>
      <c r="B29" s="61"/>
      <c r="C29" s="62"/>
      <c r="D29" s="62"/>
      <c r="E29" s="62"/>
      <c r="F29" s="62"/>
      <c r="G29" s="62"/>
      <c r="H29" s="62"/>
      <c r="I29" s="63"/>
    </row>
    <row r="30" spans="1:9" s="34" customFormat="1" ht="18.75" customHeight="1" x14ac:dyDescent="0.15">
      <c r="A30" s="33" t="s">
        <v>22</v>
      </c>
      <c r="B30" s="55" t="s">
        <v>40</v>
      </c>
      <c r="C30" s="56"/>
      <c r="D30" s="56"/>
      <c r="E30" s="56"/>
      <c r="F30" s="56"/>
      <c r="G30" s="56"/>
      <c r="H30" s="56"/>
      <c r="I30" s="57"/>
    </row>
  </sheetData>
  <mergeCells count="19">
    <mergeCell ref="C15:D15"/>
    <mergeCell ref="A2:I2"/>
    <mergeCell ref="C13:D13"/>
    <mergeCell ref="B18:I18"/>
    <mergeCell ref="B17:I17"/>
    <mergeCell ref="A16:D16"/>
    <mergeCell ref="C14:D14"/>
    <mergeCell ref="A14:A15"/>
    <mergeCell ref="B19:I19"/>
    <mergeCell ref="B20:I20"/>
    <mergeCell ref="B21:I21"/>
    <mergeCell ref="B22:I22"/>
    <mergeCell ref="B23:I23"/>
    <mergeCell ref="B30:I30"/>
    <mergeCell ref="B25:I25"/>
    <mergeCell ref="B26:I26"/>
    <mergeCell ref="B27:I27"/>
    <mergeCell ref="B28:I28"/>
    <mergeCell ref="B29:I29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</cp:lastModifiedBy>
  <cp:lastPrinted>2013-03-05T01:32:55Z</cp:lastPrinted>
  <dcterms:created xsi:type="dcterms:W3CDTF">2001-05-22T00:47:40Z</dcterms:created>
  <dcterms:modified xsi:type="dcterms:W3CDTF">2022-11-09T05:10:29Z</dcterms:modified>
</cp:coreProperties>
</file>