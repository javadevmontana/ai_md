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IZWELL업무\고객지원팀\01.고객_견적_계약\01.고객_유지보수_계약서확약서합의서\한국콜마(을 손해배상 good_pdf파일)_헬스케어\추가개발\"/>
    </mc:Choice>
  </mc:AlternateContent>
  <bookViews>
    <workbookView xWindow="0" yWindow="0" windowWidth="28800" windowHeight="13116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G15" i="2" l="1"/>
  <c r="G16" i="2"/>
  <c r="G17" i="2"/>
  <c r="G14" i="2" l="1"/>
  <c r="G18" i="2" l="1"/>
  <c r="G19" i="2" s="1"/>
  <c r="B10" i="2" s="1"/>
</calcChain>
</file>

<file path=xl/sharedStrings.xml><?xml version="1.0" encoding="utf-8"?>
<sst xmlns="http://schemas.openxmlformats.org/spreadsheetml/2006/main" count="44" uniqueCount="42">
  <si>
    <t xml:space="preserve"> 견적일로부터 1개월</t>
    <phoneticPr fontId="2" type="noConversion"/>
  </si>
  <si>
    <t>항 목</t>
    <phoneticPr fontId="2" type="noConversion"/>
  </si>
  <si>
    <t>구 분</t>
    <phoneticPr fontId="2" type="noConversion"/>
  </si>
  <si>
    <t>내   용</t>
    <phoneticPr fontId="2" type="noConversion"/>
  </si>
  <si>
    <t>수량</t>
    <phoneticPr fontId="2" type="noConversion"/>
  </si>
  <si>
    <t>공급 단가</t>
    <phoneticPr fontId="2" type="noConversion"/>
  </si>
  <si>
    <t>공급 금액</t>
    <phoneticPr fontId="2" type="noConversion"/>
  </si>
  <si>
    <t>비고</t>
    <phoneticPr fontId="2" type="noConversion"/>
  </si>
  <si>
    <t>견   적   서</t>
    <phoneticPr fontId="4" type="noConversion"/>
  </si>
  <si>
    <t xml:space="preserve"> 주식회사  비 즈 웰</t>
    <phoneticPr fontId="2" type="noConversion"/>
  </si>
  <si>
    <r>
      <t xml:space="preserve"> 대표이사  신 재 복    (직인생략)</t>
    </r>
    <r>
      <rPr>
        <sz val="9"/>
        <rFont val="맑은 고딕"/>
        <family val="3"/>
        <charset val="129"/>
      </rPr>
      <t xml:space="preserve"> </t>
    </r>
    <phoneticPr fontId="2" type="noConversion"/>
  </si>
  <si>
    <t>견적 번호</t>
    <phoneticPr fontId="2" type="noConversion"/>
  </si>
  <si>
    <t>제  출  처</t>
    <phoneticPr fontId="2" type="noConversion"/>
  </si>
  <si>
    <t>견적 일자</t>
    <phoneticPr fontId="2" type="noConversion"/>
  </si>
  <si>
    <t>유효 기간</t>
    <phoneticPr fontId="2" type="noConversion"/>
  </si>
  <si>
    <t xml:space="preserve">견적 금액 </t>
    <phoneticPr fontId="2" type="noConversion"/>
  </si>
  <si>
    <t>견  적  명</t>
    <phoneticPr fontId="2" type="noConversion"/>
  </si>
  <si>
    <t xml:space="preserve"> 아래와 같이 견적합니다.</t>
    <phoneticPr fontId="2" type="noConversion"/>
  </si>
  <si>
    <t>참  조</t>
    <phoneticPr fontId="2" type="noConversion"/>
  </si>
  <si>
    <t xml:space="preserve"> ☎  (031) 425-5820   F)031-450-5821</t>
    <phoneticPr fontId="2" type="noConversion"/>
  </si>
  <si>
    <t>합        계</t>
    <phoneticPr fontId="2" type="noConversion"/>
  </si>
  <si>
    <t>견적  금액</t>
    <phoneticPr fontId="2" type="noConversion"/>
  </si>
  <si>
    <t xml:space="preserve"> 경기 안양시 동안구 학의로 282 금강IT타워 B-1915</t>
    <phoneticPr fontId="2" type="noConversion"/>
  </si>
  <si>
    <t xml:space="preserve"> 운영지원부문  김형준이사 (kimhj@bizwell.net)  /  070-4616-5049  /  010-6565-9047   </t>
    <phoneticPr fontId="2" type="noConversion"/>
  </si>
  <si>
    <t>문  의</t>
    <phoneticPr fontId="2" type="noConversion"/>
  </si>
  <si>
    <t>(단위:원, 부가세별도)</t>
    <phoneticPr fontId="2" type="noConversion"/>
  </si>
  <si>
    <t>에디터 교체</t>
    <phoneticPr fontId="2" type="noConversion"/>
  </si>
  <si>
    <t>개발비</t>
    <phoneticPr fontId="2" type="noConversion"/>
  </si>
  <si>
    <t>- 단위 : Copy</t>
    <phoneticPr fontId="2" type="noConversion"/>
  </si>
  <si>
    <t xml:space="preserve"> Namo Cross Editor</t>
    <phoneticPr fontId="2" type="noConversion"/>
  </si>
  <si>
    <t>웹호환성 전환</t>
    <phoneticPr fontId="2" type="noConversion"/>
  </si>
  <si>
    <t xml:space="preserve"> 2022. 04. 01</t>
    <phoneticPr fontId="2" type="noConversion"/>
  </si>
  <si>
    <t xml:space="preserve"> 그룹웨어 솔루션 웹호환성 전환 작업
 - 에디터 교체 (HTML5)
 - 파일 업로드 모듈 교체 (HTML5)
 - Chrome, Edge브라우져로 사용 전환</t>
    <phoneticPr fontId="2" type="noConversion"/>
  </si>
  <si>
    <t xml:space="preserve"> 2022-한국콜마-C01</t>
    <phoneticPr fontId="2" type="noConversion"/>
  </si>
  <si>
    <t xml:space="preserve"> 한국콜마 귀중</t>
    <phoneticPr fontId="2" type="noConversion"/>
  </si>
  <si>
    <t xml:space="preserve"> SSL리다이렉트 및 환경설정 수정</t>
    <phoneticPr fontId="2" type="noConversion"/>
  </si>
  <si>
    <t xml:space="preserve">SSL </t>
    <phoneticPr fontId="2" type="noConversion"/>
  </si>
  <si>
    <t>- 진행일정은 별도 협의</t>
  </si>
  <si>
    <t xml:space="preserve"> IE서비스 종료 관련 나모크로스에디터+HTML5 및 SSL 견적서</t>
    <phoneticPr fontId="2" type="noConversion"/>
  </si>
  <si>
    <t>- 단위 : MD</t>
    <phoneticPr fontId="2" type="noConversion"/>
  </si>
  <si>
    <t>SW라이선스</t>
    <phoneticPr fontId="2" type="noConversion"/>
  </si>
  <si>
    <t xml:space="preserve"> Special D/C (-20%)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</si>
</sst>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/>
  </cellStyleXfs>
  <cellXfs count="8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2" applyFont="1" applyFill="1" applyAlignment="1" applyProtection="1">
      <alignment horizontal="centerContinuous" vertical="center"/>
      <protection locked="0"/>
    </xf>
    <xf numFmtId="0" fontId="12" fillId="0" borderId="0" xfId="2" applyFont="1" applyFill="1" applyAlignment="1">
      <alignment horizontal="centerContinuous" vertical="center"/>
    </xf>
    <xf numFmtId="41" fontId="12" fillId="0" borderId="0" xfId="2" applyNumberFormat="1" applyFont="1" applyFill="1" applyAlignment="1">
      <alignment horizontal="centerContinuous" vertical="center"/>
    </xf>
    <xf numFmtId="41" fontId="13" fillId="0" borderId="0" xfId="2" applyNumberFormat="1" applyFont="1" applyAlignment="1">
      <alignment horizontal="center" vertical="center"/>
    </xf>
    <xf numFmtId="49" fontId="13" fillId="0" borderId="0" xfId="2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2" applyFont="1" applyAlignment="1">
      <alignment horizontal="left" vertical="center"/>
    </xf>
    <xf numFmtId="0" fontId="13" fillId="0" borderId="0" xfId="2" applyFont="1" applyAlignment="1">
      <alignment horizontal="center" vertical="center"/>
    </xf>
    <xf numFmtId="0" fontId="15" fillId="2" borderId="4" xfId="1" applyNumberFormat="1" applyFont="1" applyFill="1" applyBorder="1" applyAlignment="1" applyProtection="1">
      <alignment vertical="center"/>
    </xf>
    <xf numFmtId="0" fontId="16" fillId="2" borderId="5" xfId="1" applyNumberFormat="1" applyFont="1" applyFill="1" applyBorder="1" applyAlignment="1" applyProtection="1">
      <alignment vertical="center"/>
    </xf>
    <xf numFmtId="49" fontId="13" fillId="0" borderId="6" xfId="2" applyNumberFormat="1" applyFont="1" applyBorder="1" applyAlignment="1">
      <alignment vertical="center"/>
    </xf>
    <xf numFmtId="0" fontId="13" fillId="0" borderId="0" xfId="2" applyFont="1" applyAlignment="1">
      <alignment vertical="center"/>
    </xf>
    <xf numFmtId="41" fontId="13" fillId="0" borderId="0" xfId="2" applyNumberFormat="1" applyFont="1" applyAlignment="1">
      <alignment horizontal="center"/>
    </xf>
    <xf numFmtId="0" fontId="17" fillId="0" borderId="0" xfId="0" applyFont="1" applyAlignment="1">
      <alignment horizontal="right" vertical="center"/>
    </xf>
    <xf numFmtId="0" fontId="13" fillId="4" borderId="4" xfId="2" applyFont="1" applyFill="1" applyBorder="1" applyAlignment="1">
      <alignment horizontal="center" vertical="center"/>
    </xf>
    <xf numFmtId="0" fontId="13" fillId="0" borderId="6" xfId="2" applyFont="1" applyBorder="1" applyAlignment="1">
      <alignment horizontal="center" vertical="center"/>
    </xf>
    <xf numFmtId="0" fontId="14" fillId="0" borderId="4" xfId="2" applyFont="1" applyBorder="1" applyAlignment="1">
      <alignment horizontal="left" vertical="center"/>
    </xf>
    <xf numFmtId="0" fontId="17" fillId="0" borderId="7" xfId="2" applyFont="1" applyFill="1" applyBorder="1" applyAlignment="1">
      <alignment horizontal="center" vertical="center"/>
    </xf>
    <xf numFmtId="41" fontId="17" fillId="2" borderId="7" xfId="1" applyFont="1" applyFill="1" applyBorder="1" applyAlignment="1">
      <alignment horizontal="center" vertical="center"/>
    </xf>
    <xf numFmtId="0" fontId="13" fillId="4" borderId="8" xfId="2" applyFont="1" applyFill="1" applyBorder="1" applyAlignment="1">
      <alignment horizontal="center" vertical="center"/>
    </xf>
    <xf numFmtId="0" fontId="13" fillId="4" borderId="7" xfId="2" applyFont="1" applyFill="1" applyBorder="1" applyAlignment="1">
      <alignment horizontal="center" vertical="center"/>
    </xf>
    <xf numFmtId="41" fontId="18" fillId="4" borderId="9" xfId="1" applyFont="1" applyFill="1" applyBorder="1" applyAlignment="1">
      <alignment horizontal="center" vertical="center"/>
    </xf>
    <xf numFmtId="41" fontId="18" fillId="4" borderId="9" xfId="2" applyNumberFormat="1" applyFont="1" applyFill="1" applyBorder="1" applyAlignment="1">
      <alignment horizontal="center" vertical="center"/>
    </xf>
    <xf numFmtId="0" fontId="17" fillId="4" borderId="10" xfId="2" applyFont="1" applyFill="1" applyBorder="1" applyAlignment="1">
      <alignment horizontal="center" vertical="center"/>
    </xf>
    <xf numFmtId="41" fontId="17" fillId="4" borderId="10" xfId="1" applyNumberFormat="1" applyFont="1" applyFill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49" fontId="13" fillId="0" borderId="0" xfId="2" applyNumberFormat="1" applyFont="1" applyBorder="1" applyAlignment="1">
      <alignment vertical="center"/>
    </xf>
    <xf numFmtId="0" fontId="14" fillId="0" borderId="0" xfId="2" applyFont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14" fillId="0" borderId="11" xfId="0" applyFont="1" applyBorder="1" applyAlignment="1">
      <alignment horizontal="center" vertical="center"/>
    </xf>
    <xf numFmtId="176" fontId="17" fillId="0" borderId="7" xfId="1" applyNumberFormat="1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49" fontId="14" fillId="0" borderId="8" xfId="2" applyNumberFormat="1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41" fontId="13" fillId="0" borderId="15" xfId="2" applyNumberFormat="1" applyFont="1" applyBorder="1" applyAlignment="1">
      <alignment horizontal="center" vertical="center"/>
    </xf>
    <xf numFmtId="41" fontId="13" fillId="0" borderId="16" xfId="2" applyNumberFormat="1" applyFont="1" applyBorder="1" applyAlignment="1">
      <alignment horizontal="center" vertical="center"/>
    </xf>
    <xf numFmtId="49" fontId="14" fillId="0" borderId="11" xfId="2" applyNumberFormat="1" applyFont="1" applyBorder="1" applyAlignment="1">
      <alignment vertical="center"/>
    </xf>
    <xf numFmtId="0" fontId="9" fillId="0" borderId="0" xfId="0" applyFont="1" applyBorder="1" applyAlignment="1">
      <alignment vertical="center"/>
    </xf>
    <xf numFmtId="49" fontId="13" fillId="0" borderId="17" xfId="2" applyNumberFormat="1" applyFont="1" applyBorder="1" applyAlignment="1">
      <alignment vertical="center"/>
    </xf>
    <xf numFmtId="49" fontId="11" fillId="0" borderId="11" xfId="2" applyNumberFormat="1" applyFont="1" applyBorder="1" applyAlignment="1">
      <alignment vertical="center"/>
    </xf>
    <xf numFmtId="49" fontId="11" fillId="0" borderId="12" xfId="2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49" fontId="13" fillId="0" borderId="13" xfId="2" applyNumberFormat="1" applyFont="1" applyBorder="1" applyAlignment="1">
      <alignment vertical="center"/>
    </xf>
    <xf numFmtId="49" fontId="13" fillId="0" borderId="14" xfId="2" applyNumberFormat="1" applyFont="1" applyBorder="1" applyAlignment="1">
      <alignment vertical="center"/>
    </xf>
    <xf numFmtId="41" fontId="17" fillId="5" borderId="9" xfId="1" applyFont="1" applyFill="1" applyBorder="1" applyAlignment="1">
      <alignment horizontal="center" vertical="center"/>
    </xf>
    <xf numFmtId="41" fontId="17" fillId="5" borderId="9" xfId="2" applyNumberFormat="1" applyFont="1" applyFill="1" applyBorder="1" applyAlignment="1">
      <alignment horizontal="center" vertical="center"/>
    </xf>
    <xf numFmtId="41" fontId="17" fillId="5" borderId="9" xfId="2" applyNumberFormat="1" applyFont="1" applyFill="1" applyBorder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17" fillId="0" borderId="7" xfId="0" quotePrefix="1" applyFont="1" applyBorder="1" applyAlignment="1">
      <alignment horizontal="left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4" xfId="2" applyFont="1" applyFill="1" applyBorder="1" applyAlignment="1">
      <alignment horizontal="left" vertical="center"/>
    </xf>
    <xf numFmtId="0" fontId="17" fillId="0" borderId="6" xfId="2" applyFont="1" applyFill="1" applyBorder="1" applyAlignment="1">
      <alignment horizontal="left" vertical="center"/>
    </xf>
    <xf numFmtId="0" fontId="17" fillId="0" borderId="4" xfId="2" applyFont="1" applyFill="1" applyBorder="1" applyAlignment="1">
      <alignment horizontal="left" vertical="center" wrapText="1"/>
    </xf>
    <xf numFmtId="0" fontId="19" fillId="3" borderId="0" xfId="2" applyFont="1" applyFill="1" applyAlignment="1" applyProtection="1">
      <alignment horizontal="center" vertical="center"/>
      <protection locked="0"/>
    </xf>
    <xf numFmtId="0" fontId="17" fillId="4" borderId="4" xfId="2" applyFont="1" applyFill="1" applyBorder="1" applyAlignment="1">
      <alignment horizontal="center" vertical="center"/>
    </xf>
    <xf numFmtId="0" fontId="17" fillId="4" borderId="6" xfId="2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4" fillId="0" borderId="8" xfId="0" quotePrefix="1" applyFont="1" applyFill="1" applyBorder="1" applyAlignment="1">
      <alignment horizontal="left" vertical="center"/>
    </xf>
    <xf numFmtId="0" fontId="14" fillId="0" borderId="11" xfId="0" quotePrefix="1" applyFont="1" applyBorder="1" applyAlignment="1">
      <alignment horizontal="left" vertical="center"/>
    </xf>
    <xf numFmtId="0" fontId="0" fillId="0" borderId="0" xfId="0" applyBorder="1"/>
    <xf numFmtId="0" fontId="0" fillId="0" borderId="17" xfId="0" applyBorder="1"/>
    <xf numFmtId="0" fontId="18" fillId="4" borderId="18" xfId="0" applyFont="1" applyFill="1" applyBorder="1" applyAlignment="1">
      <alignment horizontal="center" vertical="center"/>
    </xf>
    <xf numFmtId="0" fontId="18" fillId="4" borderId="19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0" fontId="17" fillId="5" borderId="20" xfId="0" applyFont="1" applyFill="1" applyBorder="1" applyAlignment="1">
      <alignment horizontal="center" vertical="center"/>
    </xf>
    <xf numFmtId="0" fontId="14" fillId="0" borderId="15" xfId="0" quotePrefix="1" applyFont="1" applyFill="1" applyBorder="1" applyAlignment="1">
      <alignment horizontal="left" vertical="center"/>
    </xf>
    <xf numFmtId="0" fontId="14" fillId="0" borderId="16" xfId="0" quotePrefix="1" applyFont="1" applyFill="1" applyBorder="1" applyAlignment="1">
      <alignment horizontal="left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176" fontId="17" fillId="2" borderId="7" xfId="1" applyNumberFormat="1" applyFont="1" applyFill="1" applyBorder="1" applyAlignment="1">
      <alignment vertical="center"/>
    </xf>
  </cellXfs>
  <cellStyles count="3">
    <cellStyle name="쉼표 [0]" xfId="1" builtinId="6"/>
    <cellStyle name="표준" xfId="0" builtinId="0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2"/>
  <sheetViews>
    <sheetView tabSelected="1" workbookViewId="0">
      <selection activeCell="I15" sqref="I15"/>
    </sheetView>
  </sheetViews>
  <sheetFormatPr defaultColWidth="8.8984375" defaultRowHeight="14.4" x14ac:dyDescent="0.25"/>
  <cols>
    <col min="1" max="1" width="11.69921875" style="1" customWidth="1"/>
    <col min="2" max="2" width="11.19921875" style="1" customWidth="1"/>
    <col min="3" max="3" width="19.59765625" style="1" customWidth="1"/>
    <col min="4" max="4" width="15.19921875" style="1" customWidth="1"/>
    <col min="5" max="5" width="6.8984375" style="1" customWidth="1"/>
    <col min="6" max="6" width="10.296875" style="1" customWidth="1"/>
    <col min="7" max="7" width="11.09765625" style="1" customWidth="1"/>
    <col min="8" max="8" width="18.796875" style="1" customWidth="1"/>
    <col min="9" max="16384" width="8.8984375" style="1"/>
  </cols>
  <sheetData>
    <row r="1" spans="1:8" s="4" customFormat="1" ht="23.25" customHeight="1" x14ac:dyDescent="0.25">
      <c r="A1" s="2"/>
      <c r="B1" s="3"/>
      <c r="C1" s="3"/>
      <c r="D1" s="3"/>
      <c r="E1" s="3"/>
      <c r="F1" s="3"/>
      <c r="G1" s="3"/>
      <c r="H1" s="3"/>
    </row>
    <row r="2" spans="1:8" s="4" customFormat="1" ht="29.25" customHeight="1" x14ac:dyDescent="0.25">
      <c r="A2" s="66" t="s">
        <v>8</v>
      </c>
      <c r="B2" s="66"/>
      <c r="C2" s="66"/>
      <c r="D2" s="66"/>
      <c r="E2" s="66"/>
      <c r="F2" s="66"/>
      <c r="G2" s="66"/>
      <c r="H2" s="66"/>
    </row>
    <row r="3" spans="1:8" s="4" customFormat="1" ht="16.5" customHeight="1" x14ac:dyDescent="0.25">
      <c r="A3" s="9"/>
      <c r="B3" s="10"/>
      <c r="C3" s="10"/>
      <c r="D3" s="10"/>
      <c r="E3" s="11"/>
      <c r="F3" s="11"/>
      <c r="G3" s="11"/>
      <c r="H3" s="11"/>
    </row>
    <row r="4" spans="1:8" s="5" customFormat="1" ht="20.100000000000001" customHeight="1" x14ac:dyDescent="0.25">
      <c r="A4" s="23" t="s">
        <v>11</v>
      </c>
      <c r="B4" s="25" t="s">
        <v>33</v>
      </c>
      <c r="C4" s="24"/>
      <c r="D4" s="34"/>
      <c r="E4" s="45" t="s">
        <v>9</v>
      </c>
      <c r="F4" s="46"/>
      <c r="G4" s="47"/>
      <c r="H4" s="48"/>
    </row>
    <row r="5" spans="1:8" s="5" customFormat="1" ht="20.100000000000001" customHeight="1" x14ac:dyDescent="0.25">
      <c r="A5" s="23" t="s">
        <v>12</v>
      </c>
      <c r="B5" s="25" t="s">
        <v>34</v>
      </c>
      <c r="C5" s="24"/>
      <c r="D5" s="34"/>
      <c r="E5" s="49" t="s">
        <v>10</v>
      </c>
      <c r="F5" s="50"/>
      <c r="G5" s="35"/>
      <c r="H5" s="51"/>
    </row>
    <row r="6" spans="1:8" s="5" customFormat="1" ht="20.100000000000001" customHeight="1" x14ac:dyDescent="0.25">
      <c r="A6" s="23" t="s">
        <v>13</v>
      </c>
      <c r="B6" s="25" t="s">
        <v>31</v>
      </c>
      <c r="C6" s="24"/>
      <c r="D6" s="34"/>
      <c r="E6" s="52" t="s">
        <v>22</v>
      </c>
      <c r="F6" s="50"/>
      <c r="G6" s="35"/>
      <c r="H6" s="51"/>
    </row>
    <row r="7" spans="1:8" s="5" customFormat="1" ht="20.100000000000001" customHeight="1" x14ac:dyDescent="0.25">
      <c r="A7" s="23" t="s">
        <v>14</v>
      </c>
      <c r="B7" s="25" t="s">
        <v>0</v>
      </c>
      <c r="C7" s="24"/>
      <c r="D7" s="34"/>
      <c r="E7" s="53" t="s">
        <v>19</v>
      </c>
      <c r="F7" s="54"/>
      <c r="G7" s="55"/>
      <c r="H7" s="56"/>
    </row>
    <row r="8" spans="1:8" s="5" customFormat="1" ht="13.5" customHeight="1" x14ac:dyDescent="0.25">
      <c r="A8" s="14"/>
      <c r="B8" s="15"/>
      <c r="C8" s="16"/>
      <c r="D8" s="16"/>
      <c r="E8" s="14"/>
      <c r="F8" s="14"/>
      <c r="G8" s="13"/>
      <c r="H8" s="13"/>
    </row>
    <row r="9" spans="1:8" s="5" customFormat="1" ht="20.100000000000001" customHeight="1" x14ac:dyDescent="0.25">
      <c r="A9" s="28" t="s">
        <v>16</v>
      </c>
      <c r="B9" s="17" t="s">
        <v>38</v>
      </c>
      <c r="C9" s="18"/>
      <c r="D9" s="18"/>
      <c r="E9" s="18"/>
      <c r="F9" s="18"/>
      <c r="G9" s="18"/>
      <c r="H9" s="19"/>
    </row>
    <row r="10" spans="1:8" s="5" customFormat="1" ht="20.100000000000001" customHeight="1" x14ac:dyDescent="0.25">
      <c r="A10" s="29" t="s">
        <v>15</v>
      </c>
      <c r="B10" s="17" t="str">
        <f>TEXT(G19," 일금[DBNum4][$-412]G/표준원정") &amp; " (" &amp; DOLLAR(G19) &amp; " 부가세별도)"</f>
        <v xml:space="preserve"> 일금오천팔백일십만원정 (₩58,100,000 부가세별도)</v>
      </c>
      <c r="C10" s="18"/>
      <c r="D10" s="18"/>
      <c r="E10" s="18"/>
      <c r="F10" s="18"/>
      <c r="G10" s="18"/>
      <c r="H10" s="19"/>
    </row>
    <row r="11" spans="1:8" s="6" customFormat="1" ht="14.25" customHeight="1" x14ac:dyDescent="0.35">
      <c r="A11" s="36"/>
      <c r="B11" s="16"/>
      <c r="C11" s="16"/>
      <c r="D11" s="16"/>
      <c r="E11" s="12"/>
      <c r="F11" s="12"/>
      <c r="G11" s="21"/>
      <c r="H11" s="22"/>
    </row>
    <row r="12" spans="1:8" s="6" customFormat="1" ht="20.25" customHeight="1" x14ac:dyDescent="0.35">
      <c r="A12" s="36" t="s">
        <v>17</v>
      </c>
      <c r="B12" s="16"/>
      <c r="C12" s="16"/>
      <c r="D12" s="16"/>
      <c r="E12" s="12"/>
      <c r="F12" s="12"/>
      <c r="G12" s="21"/>
      <c r="H12" s="60" t="s">
        <v>25</v>
      </c>
    </row>
    <row r="13" spans="1:8" s="7" customFormat="1" ht="21.9" customHeight="1" x14ac:dyDescent="0.25">
      <c r="A13" s="32" t="s">
        <v>1</v>
      </c>
      <c r="B13" s="32" t="s">
        <v>2</v>
      </c>
      <c r="C13" s="67" t="s">
        <v>3</v>
      </c>
      <c r="D13" s="68"/>
      <c r="E13" s="33" t="s">
        <v>4</v>
      </c>
      <c r="F13" s="33" t="s">
        <v>5</v>
      </c>
      <c r="G13" s="33" t="s">
        <v>6</v>
      </c>
      <c r="H13" s="33" t="s">
        <v>7</v>
      </c>
    </row>
    <row r="14" spans="1:8" s="7" customFormat="1" ht="27.6" customHeight="1" x14ac:dyDescent="0.25">
      <c r="A14" s="84" t="s">
        <v>26</v>
      </c>
      <c r="B14" s="84" t="s">
        <v>40</v>
      </c>
      <c r="C14" s="63" t="s">
        <v>29</v>
      </c>
      <c r="D14" s="64"/>
      <c r="E14" s="43">
        <v>5700</v>
      </c>
      <c r="F14" s="27">
        <v>10000</v>
      </c>
      <c r="G14" s="27">
        <f>E14*F14</f>
        <v>57000000</v>
      </c>
      <c r="H14" s="61" t="s">
        <v>28</v>
      </c>
    </row>
    <row r="15" spans="1:8" s="7" customFormat="1" ht="23.4" customHeight="1" x14ac:dyDescent="0.25">
      <c r="A15" s="85"/>
      <c r="B15" s="85"/>
      <c r="C15" s="63" t="s">
        <v>41</v>
      </c>
      <c r="D15" s="64"/>
      <c r="E15" s="43"/>
      <c r="F15" s="86">
        <v>-2000</v>
      </c>
      <c r="G15" s="86">
        <f>E14*F15</f>
        <v>-11400000</v>
      </c>
      <c r="H15" s="61"/>
    </row>
    <row r="16" spans="1:8" s="7" customFormat="1" ht="67.8" customHeight="1" x14ac:dyDescent="0.25">
      <c r="A16" s="62" t="s">
        <v>30</v>
      </c>
      <c r="B16" s="26" t="s">
        <v>27</v>
      </c>
      <c r="C16" s="65" t="s">
        <v>32</v>
      </c>
      <c r="D16" s="64"/>
      <c r="E16" s="43">
        <v>20</v>
      </c>
      <c r="F16" s="27">
        <v>500000</v>
      </c>
      <c r="G16" s="27">
        <f>E16*F16</f>
        <v>10000000</v>
      </c>
      <c r="H16" s="61" t="s">
        <v>39</v>
      </c>
    </row>
    <row r="17" spans="1:8" s="7" customFormat="1" ht="27" customHeight="1" x14ac:dyDescent="0.25">
      <c r="A17" s="62" t="s">
        <v>36</v>
      </c>
      <c r="B17" s="26" t="s">
        <v>27</v>
      </c>
      <c r="C17" s="65" t="s">
        <v>35</v>
      </c>
      <c r="D17" s="64"/>
      <c r="E17" s="43">
        <v>5</v>
      </c>
      <c r="F17" s="27">
        <v>500000</v>
      </c>
      <c r="G17" s="27">
        <f>E17*F17</f>
        <v>2500000</v>
      </c>
      <c r="H17" s="61" t="s">
        <v>39</v>
      </c>
    </row>
    <row r="18" spans="1:8" s="7" customFormat="1" ht="25.5" customHeight="1" x14ac:dyDescent="0.25">
      <c r="A18" s="79" t="s">
        <v>20</v>
      </c>
      <c r="B18" s="80"/>
      <c r="C18" s="80"/>
      <c r="D18" s="81"/>
      <c r="E18" s="57"/>
      <c r="F18" s="58"/>
      <c r="G18" s="58">
        <f>SUM(G14:G17)</f>
        <v>58100000</v>
      </c>
      <c r="H18" s="59"/>
    </row>
    <row r="19" spans="1:8" s="7" customFormat="1" ht="21.9" customHeight="1" x14ac:dyDescent="0.25">
      <c r="A19" s="76" t="s">
        <v>21</v>
      </c>
      <c r="B19" s="77"/>
      <c r="C19" s="77"/>
      <c r="D19" s="78"/>
      <c r="E19" s="30"/>
      <c r="F19" s="31"/>
      <c r="G19" s="31">
        <f>G18</f>
        <v>58100000</v>
      </c>
      <c r="H19" s="31"/>
    </row>
    <row r="20" spans="1:8" s="6" customFormat="1" ht="21" customHeight="1" x14ac:dyDescent="0.35">
      <c r="A20" s="20"/>
      <c r="B20" s="16"/>
      <c r="C20" s="16"/>
      <c r="D20" s="16"/>
      <c r="E20" s="12"/>
      <c r="F20" s="12"/>
      <c r="G20" s="21"/>
      <c r="H20" s="14"/>
    </row>
    <row r="21" spans="1:8" s="5" customFormat="1" ht="17.100000000000001" customHeight="1" x14ac:dyDescent="0.25">
      <c r="A21" s="37" t="s">
        <v>18</v>
      </c>
      <c r="B21" s="72" t="s">
        <v>37</v>
      </c>
      <c r="C21" s="82"/>
      <c r="D21" s="82"/>
      <c r="E21" s="82"/>
      <c r="F21" s="82"/>
      <c r="G21" s="82"/>
      <c r="H21" s="83"/>
    </row>
    <row r="22" spans="1:8" s="5" customFormat="1" ht="17.100000000000001" customHeight="1" x14ac:dyDescent="0.25">
      <c r="A22" s="42"/>
      <c r="B22" s="73"/>
      <c r="C22" s="74"/>
      <c r="D22" s="74"/>
      <c r="E22" s="74"/>
      <c r="F22" s="74"/>
      <c r="G22" s="74"/>
      <c r="H22" s="75"/>
    </row>
    <row r="23" spans="1:8" s="5" customFormat="1" ht="17.100000000000001" customHeight="1" x14ac:dyDescent="0.25">
      <c r="A23" s="38"/>
      <c r="B23" s="39"/>
      <c r="C23" s="40"/>
      <c r="D23" s="40"/>
      <c r="E23" s="40"/>
      <c r="F23" s="40"/>
      <c r="G23" s="40"/>
      <c r="H23" s="41"/>
    </row>
    <row r="24" spans="1:8" s="8" customFormat="1" ht="18" customHeight="1" x14ac:dyDescent="0.25">
      <c r="A24" s="44" t="s">
        <v>24</v>
      </c>
      <c r="B24" s="69" t="s">
        <v>23</v>
      </c>
      <c r="C24" s="70"/>
      <c r="D24" s="70"/>
      <c r="E24" s="70"/>
      <c r="F24" s="70"/>
      <c r="G24" s="70"/>
      <c r="H24" s="71"/>
    </row>
    <row r="25" spans="1:8" customFormat="1" ht="15.9" customHeight="1" x14ac:dyDescent="0.25"/>
    <row r="26" spans="1:8" customFormat="1" ht="15.9" customHeight="1" x14ac:dyDescent="0.25"/>
    <row r="27" spans="1:8" customFormat="1" ht="15.9" customHeight="1" x14ac:dyDescent="0.25"/>
    <row r="28" spans="1:8" s="4" customFormat="1" x14ac:dyDescent="0.25"/>
    <row r="29" spans="1:8" s="4" customFormat="1" x14ac:dyDescent="0.25"/>
    <row r="30" spans="1:8" s="4" customFormat="1" x14ac:dyDescent="0.25"/>
    <row r="31" spans="1:8" s="4" customFormat="1" x14ac:dyDescent="0.25"/>
    <row r="32" spans="1:8" s="4" customFormat="1" x14ac:dyDescent="0.25"/>
  </sheetData>
  <mergeCells count="13">
    <mergeCell ref="C14:D14"/>
    <mergeCell ref="C16:D16"/>
    <mergeCell ref="A2:H2"/>
    <mergeCell ref="C13:D13"/>
    <mergeCell ref="B24:H24"/>
    <mergeCell ref="B21:H21"/>
    <mergeCell ref="B22:H22"/>
    <mergeCell ref="A19:D19"/>
    <mergeCell ref="A18:D18"/>
    <mergeCell ref="C17:D17"/>
    <mergeCell ref="C15:D15"/>
    <mergeCell ref="A14:A15"/>
    <mergeCell ref="B14:B15"/>
  </mergeCells>
  <phoneticPr fontId="2" type="noConversion"/>
  <dataValidations disablePrompts="1" count="1">
    <dataValidation allowBlank="1" showInputMessage="1" showErrorMessage="1" promptTitle="견적금액 표시" prompt="공급금액 합계(VAT별도)를 견적금액(VAT별도) 한글로 자동변환 표시" sqref="B9:G10"/>
  </dataValidations>
  <pageMargins left="0.31" right="0.24" top="0.48" bottom="0.43" header="0.43" footer="0.34"/>
  <pageSetup paperSize="9" scale="81" fitToHeight="0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신재복</dc:creator>
  <cp:lastModifiedBy>김형준노트북</cp:lastModifiedBy>
  <cp:lastPrinted>2022-03-21T02:13:11Z</cp:lastPrinted>
  <dcterms:created xsi:type="dcterms:W3CDTF">2001-05-22T00:47:40Z</dcterms:created>
  <dcterms:modified xsi:type="dcterms:W3CDTF">2022-04-01T11:12:45Z</dcterms:modified>
</cp:coreProperties>
</file>