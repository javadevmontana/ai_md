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업무내용221101~\R2_개발환경\R2_xclick_kbcc(KB국민카드캄보디아)\견적서\"/>
    </mc:Choice>
  </mc:AlternateContent>
  <bookViews>
    <workbookView xWindow="4665" yWindow="3210" windowWidth="30525" windowHeight="15645"/>
  </bookViews>
  <sheets>
    <sheet name="견적서" sheetId="2" r:id="rId1"/>
  </sheets>
  <definedNames>
    <definedName name="_xlnm.Print_Area" localSheetId="0">견적서!$A$1:$I$31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H14" i="2" l="1"/>
  <c r="F14" i="2"/>
  <c r="F15" i="2" l="1"/>
  <c r="H15" i="2" l="1"/>
  <c r="H16" i="2" s="1"/>
  <c r="B10" i="2" l="1"/>
</calcChain>
</file>

<file path=xl/sharedStrings.xml><?xml version="1.0" encoding="utf-8"?>
<sst xmlns="http://schemas.openxmlformats.org/spreadsheetml/2006/main" count="48" uniqueCount="47">
  <si>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</si>
  <si>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</si>
  <si>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</si>
  <si>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</si>
  <si>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</si>
  <si>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</si>
  <si>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</si>
  <si>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</si>
  <si>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</si>
  <si>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</si>
  <si>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</si>
  <si>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</si>
  <si>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</si>
  <si>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</si>
  <si>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</si>
  <si>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</si>
  <si>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</si>
  <si>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</si>
  <si>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</si>
  <si>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</si>
  <si>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</si>
  <si>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</si>
  <si>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</si>
  <si>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</si>
  <si>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</si>
  <si>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</si>
  <si>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</si>
  <si>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</si>
  <si>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</si>
  <si>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</si>
  <si>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</si>
  <si>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</si>
  <si>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M/D</t>
    <phoneticPr fontId="6" type="noConversion"/>
  </si>
  <si>
    <t>전제 조건
및
고려사항</t>
    <phoneticPr fontId="6" type="noConversion"/>
  </si>
  <si>
    <t>- 상기 기재된 기능 외 변경 및 추가시 추가공수가 발생함.</t>
    <phoneticPr fontId="6" type="noConversion"/>
  </si>
  <si>
    <t>견   적   서</t>
    <phoneticPr fontId="8" type="noConversion"/>
  </si>
  <si>
    <t>영업문의</t>
    <phoneticPr fontId="6" type="noConversion"/>
  </si>
  <si>
    <t>운영지원부문 김형준 이사 (kimhj@bizwell.net) / 070 - 4616 - 5049 / 010 - 6565 - 9047</t>
    <phoneticPr fontId="6" type="noConversion"/>
  </si>
  <si>
    <t>견적 금액</t>
    <phoneticPr fontId="6" type="noConversion"/>
  </si>
  <si>
    <t xml:space="preserve"> KB국민카드 캄보디아 귀중</t>
    <phoneticPr fontId="6" type="noConversion"/>
  </si>
  <si>
    <t>개발비</t>
    <phoneticPr fontId="6" type="noConversion"/>
  </si>
  <si>
    <r>
      <rPr>
        <b/>
        <sz val="9"/>
        <rFont val="맑은 고딕"/>
        <family val="3"/>
        <charset val="129"/>
        <scheme val="minor"/>
      </rPr>
      <t>[이모지 제거 개발]</t>
    </r>
    <r>
      <rPr>
        <sz val="9"/>
        <rFont val="맑은 고딕"/>
        <family val="3"/>
        <charset val="129"/>
        <scheme val="minor"/>
      </rPr>
      <t xml:space="preserve">
 - 게시판 제목,본문내용 이모지 제거
 - 전자우편 제목,본문내용 이모지 제거</t>
    </r>
    <phoneticPr fontId="6" type="noConversion"/>
  </si>
  <si>
    <t xml:space="preserve"> 2025-KB국민카드 캄보디아-D01</t>
    <phoneticPr fontId="6" type="noConversion"/>
  </si>
  <si>
    <t xml:space="preserve"> 2025. 07. 30</t>
    <phoneticPr fontId="6" type="noConversion"/>
  </si>
  <si>
    <t xml:space="preserve"> OTP인증 개발 외 1건</t>
    <phoneticPr fontId="6" type="noConversion"/>
  </si>
  <si>
    <r>
      <rPr>
        <b/>
        <sz val="9"/>
        <rFont val="맑은 고딕"/>
        <family val="3"/>
        <charset val="129"/>
        <scheme val="minor"/>
      </rPr>
      <t>[OTP인증 개발]</t>
    </r>
    <r>
      <rPr>
        <sz val="9"/>
        <rFont val="맑은 고딕"/>
        <family val="3"/>
        <charset val="129"/>
        <scheme val="minor"/>
      </rPr>
      <t xml:space="preserve">
  - OTP 인증번호 입력 화면 개발
  - OTP 인증번호 기간계 DB 연동
  - OTP 인증번호 이력용 DB 테이블 및 관련 로직 추가
  - OTP 인증번호 이력용 DB 데이터 관리 데몬 추가
  - 로그인 로직 변경</t>
    </r>
    <phoneticPr fontId="6" type="noConversion"/>
  </si>
  <si>
    <t>- '작성하기' 버튼 클릭 후 제거 처리(작성중 처리되지 않음)
- 이전 작성한 게시글 및 메일은 처리 대상에서 제외
- 모든 이모지에 대한 처리 불가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</si>
</sst>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0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6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Alignment="1" applyProtection="1">
      <alignment horizontal="centerContinuous" vertical="center"/>
      <protection locked="0"/>
    </xf>
    <xf numFmtId="0" fontId="14" fillId="0" borderId="0" xfId="2" applyFont="1" applyAlignment="1">
      <alignment horizontal="centerContinuous" vertical="center"/>
    </xf>
    <xf numFmtId="41" fontId="14" fillId="0" borderId="0" xfId="2" applyNumberFormat="1" applyFont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  <xf numFmtId="41" fontId="19" fillId="0" borderId="4" xfId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41" fontId="19" fillId="0" borderId="5" xfId="1" applyFont="1" applyFill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9" fillId="6" borderId="5" xfId="2" applyFont="1" applyFill="1" applyBorder="1" applyAlignment="1">
      <alignment horizontal="center" vertical="center"/>
    </xf>
    <xf numFmtId="41" fontId="19" fillId="6" borderId="5" xfId="1" applyFont="1" applyFill="1" applyBorder="1" applyAlignment="1">
      <alignment horizontal="center" vertical="center"/>
    </xf>
    <xf numFmtId="176" fontId="19" fillId="6" borderId="5" xfId="1" applyNumberFormat="1" applyFont="1" applyFill="1" applyBorder="1" applyAlignment="1">
      <alignment horizontal="center" vertical="center"/>
    </xf>
    <xf numFmtId="49" fontId="19" fillId="0" borderId="5" xfId="2" quotePrefix="1" applyNumberFormat="1" applyFont="1" applyBorder="1" applyAlignment="1">
      <alignment horizontal="left" vertical="center" wrapText="1"/>
    </xf>
    <xf numFmtId="49" fontId="19" fillId="6" borderId="5" xfId="1" applyNumberFormat="1" applyFont="1" applyFill="1" applyBorder="1" applyAlignment="1">
      <alignment horizontal="left" vertical="center" wrapText="1"/>
    </xf>
    <xf numFmtId="0" fontId="16" fillId="0" borderId="6" xfId="0" quotePrefix="1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left" vertical="center" wrapText="1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6" borderId="1" xfId="2" applyFont="1" applyFill="1" applyBorder="1" applyAlignment="1">
      <alignment horizontal="left" vertical="center" wrapText="1"/>
    </xf>
    <xf numFmtId="0" fontId="19" fillId="6" borderId="2" xfId="2" applyFont="1" applyFill="1" applyBorder="1" applyAlignment="1">
      <alignment horizontal="left" vertical="center"/>
    </xf>
    <xf numFmtId="0" fontId="19" fillId="6" borderId="3" xfId="2" applyFont="1" applyFill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/>
    <xf numFmtId="0" fontId="27" fillId="0" borderId="11" xfId="0" applyFont="1" applyBorder="1"/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topLeftCell="B1" zoomScaleNormal="100" workbookViewId="0">
      <selection activeCell="I15" sqref="I15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20.77734375" style="1" customWidth="1"/>
    <col min="5" max="5" width="8.109375" style="1" customWidth="1"/>
    <col min="6" max="6" width="9.77734375" style="1" bestFit="1" customWidth="1"/>
    <col min="7" max="8" width="9.33203125" style="1" bestFit="1" customWidth="1"/>
    <col min="9" max="9" width="24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66" t="s">
        <v>35</v>
      </c>
      <c r="B2" s="66"/>
      <c r="C2" s="66"/>
      <c r="D2" s="66"/>
      <c r="E2" s="66"/>
      <c r="F2" s="66"/>
      <c r="G2" s="66"/>
      <c r="H2" s="66"/>
      <c r="I2" s="66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42</v>
      </c>
      <c r="C4" s="22"/>
      <c r="D4" s="28"/>
      <c r="E4" s="33" t="s">
        <v>4</v>
      </c>
      <c r="F4" s="34"/>
      <c r="G4" s="34"/>
      <c r="H4" s="34"/>
      <c r="I4" s="35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36" t="s">
        <v>12</v>
      </c>
      <c r="F5" s="12"/>
      <c r="G5" s="12"/>
      <c r="H5" s="12"/>
      <c r="I5" s="37"/>
    </row>
    <row r="6" spans="1:10" s="5" customFormat="1" ht="20.100000000000001" customHeight="1" x14ac:dyDescent="0.15">
      <c r="A6" s="21" t="s">
        <v>7</v>
      </c>
      <c r="B6" s="23" t="s">
        <v>43</v>
      </c>
      <c r="C6" s="22"/>
      <c r="D6" s="28"/>
      <c r="E6" s="40" t="s">
        <v>16</v>
      </c>
      <c r="F6" s="12"/>
      <c r="G6" s="12"/>
      <c r="H6" s="12"/>
      <c r="I6" s="37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1" t="s">
        <v>14</v>
      </c>
      <c r="F7" s="38"/>
      <c r="G7" s="38"/>
      <c r="H7" s="38"/>
      <c r="I7" s="39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44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17</v>
      </c>
      <c r="B10" s="16" t="str">
        <f>TEXT(H16," 일금[DBNum4][$-412]G/표준원정") &amp; " (" &amp; DOLLAR(H16) &amp; " 부가세별도)"</f>
        <v xml:space="preserve"> 일금삼백오십만원정 (₩3,500,000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29" t="s">
        <v>13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67" t="s">
        <v>1</v>
      </c>
      <c r="C13" s="68"/>
      <c r="D13" s="69"/>
      <c r="E13" s="27" t="s">
        <v>32</v>
      </c>
      <c r="F13" s="27" t="s">
        <v>15</v>
      </c>
      <c r="G13" s="27" t="s">
        <v>2</v>
      </c>
      <c r="H13" s="27" t="s">
        <v>3</v>
      </c>
      <c r="I13" s="27" t="s">
        <v>30</v>
      </c>
    </row>
    <row r="14" spans="1:10" s="7" customFormat="1" ht="117" customHeight="1" x14ac:dyDescent="0.15">
      <c r="A14" s="55" t="s">
        <v>40</v>
      </c>
      <c r="B14" s="73" t="s">
        <v>45</v>
      </c>
      <c r="C14" s="74"/>
      <c r="D14" s="75"/>
      <c r="E14" s="57">
        <v>6</v>
      </c>
      <c r="F14" s="53">
        <f t="shared" ref="F14:F15" si="0">604342.83</f>
        <v>604342.82999999996</v>
      </c>
      <c r="G14" s="48">
        <v>500000</v>
      </c>
      <c r="H14" s="56">
        <f>SUM(E14:E14)*G14</f>
        <v>3000000</v>
      </c>
      <c r="I14" s="59"/>
    </row>
    <row r="15" spans="1:10" s="7" customFormat="1" ht="62.1" customHeight="1" x14ac:dyDescent="0.15">
      <c r="A15" s="55" t="s">
        <v>40</v>
      </c>
      <c r="B15" s="63" t="s">
        <v>41</v>
      </c>
      <c r="C15" s="64"/>
      <c r="D15" s="65"/>
      <c r="E15" s="49">
        <v>1</v>
      </c>
      <c r="F15" s="53">
        <f t="shared" si="0"/>
        <v>604342.82999999996</v>
      </c>
      <c r="G15" s="48">
        <v>500000</v>
      </c>
      <c r="H15" s="47">
        <f t="shared" ref="H15" si="1">SUM(E15:E15)*G15</f>
        <v>500000</v>
      </c>
      <c r="I15" s="58" t="s">
        <v>46</v>
      </c>
      <c r="J15" s="32"/>
    </row>
    <row r="16" spans="1:10" s="7" customFormat="1" ht="27.75" customHeight="1" x14ac:dyDescent="0.15">
      <c r="A16" s="70" t="s">
        <v>38</v>
      </c>
      <c r="B16" s="71"/>
      <c r="C16" s="71"/>
      <c r="D16" s="72"/>
      <c r="E16" s="50" t="str">
        <f>SUM(E14:E15)&amp;"MD"</f>
        <v>7MD</v>
      </c>
      <c r="F16" s="42"/>
      <c r="G16" s="42"/>
      <c r="H16" s="42">
        <f>SUM(H14:H15)</f>
        <v>3500000</v>
      </c>
      <c r="I16" s="43"/>
      <c r="J16" s="32"/>
    </row>
    <row r="17" spans="1:10" s="6" customFormat="1" ht="14.25" customHeight="1" x14ac:dyDescent="0.25">
      <c r="A17" s="29"/>
      <c r="B17" s="15"/>
      <c r="C17" s="15"/>
      <c r="D17" s="15"/>
      <c r="E17" s="11"/>
      <c r="F17" s="11"/>
      <c r="G17" s="11"/>
      <c r="H17" s="19"/>
      <c r="I17" s="20"/>
    </row>
    <row r="18" spans="1:10" s="5" customFormat="1" ht="48.75" customHeight="1" x14ac:dyDescent="0.15">
      <c r="A18" s="51" t="s">
        <v>33</v>
      </c>
      <c r="B18" s="60" t="s">
        <v>34</v>
      </c>
      <c r="C18" s="61"/>
      <c r="D18" s="61"/>
      <c r="E18" s="61"/>
      <c r="F18" s="61"/>
      <c r="G18" s="61"/>
      <c r="H18" s="61"/>
      <c r="I18" s="62"/>
      <c r="J18" s="52"/>
    </row>
    <row r="19" spans="1:10" s="5" customFormat="1" ht="17.100000000000001" customHeight="1" x14ac:dyDescent="0.15">
      <c r="A19" s="30" t="s">
        <v>11</v>
      </c>
      <c r="B19" s="79" t="s">
        <v>20</v>
      </c>
      <c r="C19" s="61"/>
      <c r="D19" s="61"/>
      <c r="E19" s="61"/>
      <c r="F19" s="61"/>
      <c r="G19" s="61"/>
      <c r="H19" s="61"/>
      <c r="I19" s="62"/>
    </row>
    <row r="20" spans="1:10" s="5" customFormat="1" ht="17.100000000000001" customHeight="1" x14ac:dyDescent="0.15">
      <c r="A20" s="31"/>
      <c r="B20" s="80" t="s">
        <v>21</v>
      </c>
      <c r="C20" s="81"/>
      <c r="D20" s="81"/>
      <c r="E20" s="81"/>
      <c r="F20" s="81"/>
      <c r="G20" s="81"/>
      <c r="H20" s="81"/>
      <c r="I20" s="82"/>
    </row>
    <row r="21" spans="1:10" s="5" customFormat="1" ht="17.100000000000001" customHeight="1" x14ac:dyDescent="0.15">
      <c r="A21" s="31"/>
      <c r="B21" s="80" t="s">
        <v>22</v>
      </c>
      <c r="C21" s="81"/>
      <c r="D21" s="81"/>
      <c r="E21" s="81"/>
      <c r="F21" s="81"/>
      <c r="G21" s="81"/>
      <c r="H21" s="81"/>
      <c r="I21" s="82"/>
    </row>
    <row r="22" spans="1:10" s="5" customFormat="1" ht="17.100000000000001" customHeight="1" x14ac:dyDescent="0.15">
      <c r="A22" s="31"/>
      <c r="B22" s="83" t="s">
        <v>28</v>
      </c>
      <c r="C22" s="84"/>
      <c r="D22" s="84"/>
      <c r="E22" s="84"/>
      <c r="F22" s="84"/>
      <c r="G22" s="84"/>
      <c r="H22" s="84"/>
      <c r="I22" s="85"/>
    </row>
    <row r="23" spans="1:10" s="5" customFormat="1" ht="17.100000000000001" customHeight="1" x14ac:dyDescent="0.15">
      <c r="A23" s="31"/>
      <c r="B23" s="80" t="s">
        <v>18</v>
      </c>
      <c r="C23" s="81"/>
      <c r="D23" s="81"/>
      <c r="E23" s="81"/>
      <c r="F23" s="81"/>
      <c r="G23" s="81"/>
      <c r="H23" s="81"/>
      <c r="I23" s="82"/>
    </row>
    <row r="24" spans="1:10" s="5" customFormat="1" ht="17.100000000000001" customHeight="1" x14ac:dyDescent="0.15">
      <c r="A24" s="31"/>
      <c r="B24" s="83" t="s">
        <v>19</v>
      </c>
      <c r="C24" s="84"/>
      <c r="D24" s="84"/>
      <c r="E24" s="84"/>
      <c r="F24" s="84"/>
      <c r="G24" s="84"/>
      <c r="H24" s="84"/>
      <c r="I24" s="85"/>
    </row>
    <row r="25" spans="1:10" s="5" customFormat="1" ht="17.100000000000001" customHeight="1" x14ac:dyDescent="0.15">
      <c r="A25" s="31"/>
      <c r="B25" s="83" t="s">
        <v>23</v>
      </c>
      <c r="C25" s="84"/>
      <c r="D25" s="84"/>
      <c r="E25" s="84"/>
      <c r="F25" s="84"/>
      <c r="G25" s="84"/>
      <c r="H25" s="84"/>
      <c r="I25" s="85"/>
    </row>
    <row r="26" spans="1:10" s="5" customFormat="1" ht="17.100000000000001" customHeight="1" x14ac:dyDescent="0.15">
      <c r="A26" s="31"/>
      <c r="B26" s="44" t="s">
        <v>24</v>
      </c>
      <c r="C26" s="45"/>
      <c r="D26" s="45"/>
      <c r="E26" s="45"/>
      <c r="F26" s="45"/>
      <c r="G26" s="45"/>
      <c r="H26" s="45"/>
      <c r="I26" s="46"/>
    </row>
    <row r="27" spans="1:10" s="5" customFormat="1" ht="17.100000000000001" customHeight="1" x14ac:dyDescent="0.15">
      <c r="A27" s="31"/>
      <c r="B27" s="80" t="s">
        <v>25</v>
      </c>
      <c r="C27" s="81"/>
      <c r="D27" s="81"/>
      <c r="E27" s="81"/>
      <c r="F27" s="81"/>
      <c r="G27" s="81"/>
      <c r="H27" s="81"/>
      <c r="I27" s="82"/>
    </row>
    <row r="28" spans="1:10" s="5" customFormat="1" ht="17.100000000000001" customHeight="1" x14ac:dyDescent="0.15">
      <c r="A28" s="31"/>
      <c r="B28" s="80" t="s">
        <v>31</v>
      </c>
      <c r="C28" s="81"/>
      <c r="D28" s="81"/>
      <c r="E28" s="81"/>
      <c r="F28" s="81"/>
      <c r="G28" s="81"/>
      <c r="H28" s="81"/>
      <c r="I28" s="82"/>
    </row>
    <row r="29" spans="1:10" s="5" customFormat="1" ht="17.100000000000001" customHeight="1" x14ac:dyDescent="0.15">
      <c r="A29" s="31"/>
      <c r="B29" s="80" t="s">
        <v>26</v>
      </c>
      <c r="C29" s="81"/>
      <c r="D29" s="81"/>
      <c r="E29" s="81"/>
      <c r="F29" s="81"/>
      <c r="G29" s="81"/>
      <c r="H29" s="81"/>
      <c r="I29" s="82"/>
    </row>
    <row r="30" spans="1:10" s="5" customFormat="1" ht="17.100000000000001" customHeight="1" x14ac:dyDescent="0.15">
      <c r="A30" s="31"/>
      <c r="B30" s="80" t="s">
        <v>27</v>
      </c>
      <c r="C30" s="81"/>
      <c r="D30" s="81"/>
      <c r="E30" s="81"/>
      <c r="F30" s="81"/>
      <c r="G30" s="81"/>
      <c r="H30" s="81"/>
      <c r="I30" s="82"/>
    </row>
    <row r="31" spans="1:10" s="5" customFormat="1" ht="17.100000000000001" customHeight="1" x14ac:dyDescent="0.15">
      <c r="A31" s="54" t="s">
        <v>36</v>
      </c>
      <c r="B31" s="76" t="s">
        <v>37</v>
      </c>
      <c r="C31" s="77"/>
      <c r="D31" s="77"/>
      <c r="E31" s="77"/>
      <c r="F31" s="77"/>
      <c r="G31" s="77"/>
      <c r="H31" s="77"/>
      <c r="I31" s="78"/>
    </row>
    <row r="32" spans="1:10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B31:I31"/>
    <mergeCell ref="B19:I19"/>
    <mergeCell ref="B20:I20"/>
    <mergeCell ref="B30:I30"/>
    <mergeCell ref="B22:I22"/>
    <mergeCell ref="B29:I29"/>
    <mergeCell ref="B23:I23"/>
    <mergeCell ref="B28:I28"/>
    <mergeCell ref="B24:I24"/>
    <mergeCell ref="B25:I25"/>
    <mergeCell ref="B27:I27"/>
    <mergeCell ref="B21:I21"/>
    <mergeCell ref="B18:I18"/>
    <mergeCell ref="B15:D15"/>
    <mergeCell ref="A2:I2"/>
    <mergeCell ref="B13:D13"/>
    <mergeCell ref="A16:D16"/>
    <mergeCell ref="B14:D14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1496062992125984" bottom="0.23622047244094491" header="0.27559055118110237" footer="0.15748031496062992"/>
  <pageSetup paperSize="9" scale="6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hyosim yoon</cp:lastModifiedBy>
  <cp:lastPrinted>2017-04-21T01:46:01Z</cp:lastPrinted>
  <dcterms:created xsi:type="dcterms:W3CDTF">2001-05-22T00:47:40Z</dcterms:created>
  <dcterms:modified xsi:type="dcterms:W3CDTF">2025-07-30T06:08:45Z</dcterms:modified>
</cp:coreProperties>
</file>