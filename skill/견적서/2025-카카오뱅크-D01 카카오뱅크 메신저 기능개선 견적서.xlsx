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ssh\Downloads\"/>
    </mc:Choice>
  </mc:AlternateContent>
  <xr:revisionPtr revIDLastSave="0" documentId="13_ncr:1_{F56DDFB5-029A-498D-8F6C-75C8262130D5}" xr6:coauthVersionLast="47" xr6:coauthVersionMax="47" xr10:uidLastSave="{00000000-0000-0000-0000-000000000000}"/>
  <bookViews>
    <workbookView xWindow="1665" yWindow="-120" windowWidth="36855" windowHeight="21840" xr2:uid="{00000000-000D-0000-FFFF-FFFF00000000}"/>
  </bookViews>
  <sheets>
    <sheet name="견적서" sheetId="2" r:id="rId1"/>
  </sheets>
  <definedNames>
    <definedName name="_xlnm.Print_Area" localSheetId="0">견적서!$A$1:$I$35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18" i="2"/>
  <c r="H13" i="2"/>
  <c r="H14" i="2"/>
  <c r="H15" i="2"/>
  <c r="H16" i="2"/>
  <c r="H17" i="2"/>
  <c r="E20" i="2" l="1"/>
  <c r="H20" i="2" l="1"/>
  <c r="B9" i="2" l="1"/>
</calcChain>
</file>

<file path=xl/sharedStrings.xml><?xml version="1.0" encoding="utf-8"?>
<sst xmlns="http://schemas.openxmlformats.org/spreadsheetml/2006/main" count="55" uniqueCount="49">
  <si>
    <t>항 목</t>
    <phoneticPr fontId="7" type="noConversion"/>
  </si>
  <si>
    <t>내   용</t>
    <phoneticPr fontId="7" type="noConversion"/>
  </si>
  <si>
    <t>공급 단가</t>
    <phoneticPr fontId="7" type="noConversion"/>
  </si>
  <si>
    <t>공급 금액</t>
    <phoneticPr fontId="7" type="noConversion"/>
  </si>
  <si>
    <t xml:space="preserve"> 주식회사  비 즈 웰</t>
    <phoneticPr fontId="7" type="noConversion"/>
  </si>
  <si>
    <t>견적 번호</t>
    <phoneticPr fontId="7" type="noConversion"/>
  </si>
  <si>
    <t>제  출  처</t>
    <phoneticPr fontId="7" type="noConversion"/>
  </si>
  <si>
    <t>견적 일자</t>
    <phoneticPr fontId="7" type="noConversion"/>
  </si>
  <si>
    <t>유효 기간</t>
    <phoneticPr fontId="7" type="noConversion"/>
  </si>
  <si>
    <t>(단위:원, 부가세별도)</t>
    <phoneticPr fontId="7" type="noConversion"/>
  </si>
  <si>
    <t>견  적  명</t>
    <phoneticPr fontId="7" type="noConversion"/>
  </si>
  <si>
    <t>영업 문의</t>
    <phoneticPr fontId="7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</si>
  <si>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7" type="noConversion"/>
  </si>
  <si>
    <t>견   적   서</t>
    <phoneticPr fontId="9" type="noConversion"/>
  </si>
  <si>
    <t xml:space="preserve"> 아래와 같이 견적합니다.</t>
    <phoneticPr fontId="7" type="noConversion"/>
  </si>
  <si>
    <t xml:space="preserve"> ☎ 031-425-5820   Fax) 031-450-5821</t>
    <phoneticPr fontId="7" type="noConversion"/>
  </si>
  <si>
    <t>SW노임단가</t>
    <phoneticPr fontId="7" type="noConversion"/>
  </si>
  <si>
    <t xml:space="preserve"> 경기 안양 동안구 학의로 282 금강펜테리움IT타워 B-1915</t>
    <phoneticPr fontId="7" type="noConversion"/>
  </si>
  <si>
    <t>견적 금액</t>
    <phoneticPr fontId="7" type="noConversion"/>
  </si>
  <si>
    <t>※ SW노임단가는 2014년 소프트웨어 기술자 노임대가 기준입니다. (제경비 110%, 기술료 30% 산정)</t>
    <phoneticPr fontId="7" type="noConversion"/>
  </si>
  <si>
    <t>※ 적용등급 : 중급</t>
    <phoneticPr fontId="7" type="noConversion"/>
  </si>
  <si>
    <t>비  고</t>
    <phoneticPr fontId="7" type="noConversion"/>
  </si>
  <si>
    <t>M/D</t>
    <phoneticPr fontId="7" type="noConversion"/>
  </si>
  <si>
    <t>참조 사항</t>
    <phoneticPr fontId="7" type="noConversion"/>
  </si>
  <si>
    <t>※ 공급단가 : 작업 수행인력 외 기술지원부문(프로젝트지원팀,기술연구소 등) 반영 단가 임</t>
    <phoneticPr fontId="7" type="noConversion"/>
  </si>
  <si>
    <t>※ 투입인력 작업수행 조건 : 비상주 (상주 요구 시 재견적 필요)</t>
    <phoneticPr fontId="7" type="noConversion"/>
  </si>
  <si>
    <t>※ 공수 산정 시 주요 가정 및 기타 참고사항</t>
    <phoneticPr fontId="7" type="noConversion"/>
  </si>
  <si>
    <t xml:space="preserve"> 1) 공수의 기준은 해당 시스템의 구축을 위하여 소요되는 모든 활동을 포함됩니다.</t>
    <phoneticPr fontId="7" type="noConversion"/>
  </si>
  <si>
    <t xml:space="preserve">    - 그 예로 협의를 위한 방문지원 시간, 유선상의 연락 및 확인시간 등 일련의 모든 활동</t>
    <phoneticPr fontId="7" type="noConversion"/>
  </si>
  <si>
    <t xml:space="preserve">    - 단, 산출물 작성 위한 공수는 별도 </t>
    <phoneticPr fontId="7" type="noConversion"/>
  </si>
  <si>
    <t xml:space="preserve"> 2) 공수산정 기준은 다음과 같습니다. (실제 투입 공수는 변경될 수 있음)</t>
    <phoneticPr fontId="7" type="noConversion"/>
  </si>
  <si>
    <t xml:space="preserve">    - 8MH = 1MD,  20MD = 1MM</t>
    <phoneticPr fontId="7" type="noConversion"/>
  </si>
  <si>
    <t xml:space="preserve"> 3) 견적 유효기간 내에 개발진행 확정시 세부 개발일정에 대한 협의가 이루어집니다.</t>
    <phoneticPr fontId="7" type="noConversion"/>
  </si>
  <si>
    <t xml:space="preserve"> 4) 개발 소요기간은 산정된 작업공수와 동일하지 않습니다. (별도 협의 필요)</t>
    <phoneticPr fontId="7" type="noConversion"/>
  </si>
  <si>
    <t>견적일로부터 2주일 이내</t>
    <phoneticPr fontId="7" type="noConversion"/>
  </si>
  <si>
    <t>견적 금액</t>
    <phoneticPr fontId="7" type="noConversion"/>
  </si>
  <si>
    <t>메신저</t>
    <phoneticPr fontId="7" type="noConversion"/>
  </si>
  <si>
    <t>카카오뱅크 귀중</t>
    <phoneticPr fontId="7" type="noConversion"/>
  </si>
  <si>
    <t>2025.02.10</t>
    <phoneticPr fontId="7" type="noConversion"/>
  </si>
  <si>
    <t>2025-카카오뱅크-D01</t>
    <phoneticPr fontId="7" type="noConversion"/>
  </si>
  <si>
    <t>카카오뱅크 메신저 기능개선</t>
    <phoneticPr fontId="7" type="noConversion"/>
  </si>
  <si>
    <r>
      <rPr>
        <b/>
        <sz val="10"/>
        <rFont val="맑은 고딕"/>
        <family val="3"/>
        <charset val="129"/>
        <scheme val="minor"/>
      </rPr>
      <t>관리자 페이지 내 사용자 계정 status 변경할 수 있는 화면 제공</t>
    </r>
    <r>
      <rPr>
        <sz val="10"/>
        <rFont val="맑은 고딕"/>
        <family val="3"/>
        <charset val="129"/>
        <scheme val="minor"/>
      </rPr>
      <t xml:space="preserve">
- 상태값이 삭제인 사용자에 대한 복직 처리</t>
    </r>
    <phoneticPr fontId="7" type="noConversion"/>
  </si>
  <si>
    <r>
      <rPr>
        <b/>
        <sz val="10"/>
        <rFont val="맑은 고딕"/>
        <family val="3"/>
        <charset val="129"/>
        <scheme val="minor"/>
      </rPr>
      <t>쪽지 발송 시 작성된 글자수 확인</t>
    </r>
    <r>
      <rPr>
        <sz val="10"/>
        <rFont val="맑은 고딕"/>
        <family val="3"/>
        <charset val="129"/>
        <scheme val="minor"/>
      </rPr>
      <t xml:space="preserve">
- 쪽지 작성차 좌하단 버튼 우측에 작성중인 글자수 표시
ex) [수신 확인] [예약 전송] (1,434 / 2,000)</t>
    </r>
    <phoneticPr fontId="7" type="noConversion"/>
  </si>
  <si>
    <r>
      <rPr>
        <b/>
        <sz val="10"/>
        <rFont val="맑은 고딕"/>
        <family val="3"/>
        <charset val="129"/>
        <scheme val="minor"/>
      </rPr>
      <t>퇴사자 메신저 방 자동 탈퇴</t>
    </r>
    <r>
      <rPr>
        <sz val="10"/>
        <rFont val="맑은 고딕"/>
        <family val="3"/>
        <charset val="129"/>
        <scheme val="minor"/>
      </rPr>
      <t xml:space="preserve">
- 퇴사 처리시 모든 대화창에서 사용자 삭제 처리
- 퇴사자는 복직 후에도 과거 대화창이 표시되지 않음</t>
    </r>
    <phoneticPr fontId="7" type="noConversion"/>
  </si>
  <si>
    <r>
      <rPr>
        <b/>
        <sz val="10"/>
        <rFont val="맑은 고딕"/>
        <family val="3"/>
        <charset val="129"/>
        <scheme val="minor"/>
      </rPr>
      <t>태그 기능 개선</t>
    </r>
    <r>
      <rPr>
        <sz val="10"/>
        <rFont val="맑은 고딕"/>
        <family val="3"/>
        <charset val="129"/>
        <scheme val="minor"/>
      </rPr>
      <t xml:space="preserve">
- 메신저 대화창의 답장기능 사용 시 원 메시지를 보낸 사람을 자동으로 태그</t>
    </r>
    <phoneticPr fontId="7" type="noConversion"/>
  </si>
  <si>
    <r>
      <rPr>
        <b/>
        <sz val="10"/>
        <rFont val="맑은 고딕"/>
        <family val="3"/>
        <charset val="129"/>
        <scheme val="minor"/>
      </rPr>
      <t>대화 반응 표시</t>
    </r>
    <r>
      <rPr>
        <sz val="10"/>
        <rFont val="맑은 고딕"/>
        <family val="3"/>
        <charset val="129"/>
        <scheme val="minor"/>
      </rPr>
      <t xml:space="preserve">
- 대화칸 하단에 '</t>
    </r>
    <r>
      <rPr>
        <sz val="10"/>
        <rFont val="Segoe UI Emoji"/>
        <family val="2"/>
      </rPr>
      <t>✅</t>
    </r>
    <r>
      <rPr>
        <sz val="10"/>
        <rFont val="맑은 고딕"/>
        <family val="3"/>
        <charset val="129"/>
        <scheme val="minor"/>
      </rPr>
      <t>체크' 표시를 남길 수 있는 기능
- 마우스 클릭 시 누가 체크했는지 확인 가능</t>
    </r>
    <phoneticPr fontId="7" type="noConversion"/>
  </si>
  <si>
    <r>
      <rPr>
        <b/>
        <sz val="10"/>
        <rFont val="맑은 고딕"/>
        <family val="3"/>
        <charset val="129"/>
        <scheme val="minor"/>
      </rPr>
      <t>검색 결과 대화로 바로가기 기능 추가</t>
    </r>
    <r>
      <rPr>
        <sz val="10"/>
        <rFont val="맑은 고딕"/>
        <family val="3"/>
        <charset val="129"/>
        <scheme val="minor"/>
      </rPr>
      <t xml:space="preserve">
- 대화창에서 Ctrl + F 로 대화검색 후, 검색 결과 클릭시 해당 대화로 바로가기</t>
    </r>
    <phoneticPr fontId="7" type="noConversion"/>
  </si>
  <si>
    <r>
      <rPr>
        <b/>
        <sz val="10"/>
        <rFont val="맑은 고딕"/>
        <family val="3"/>
        <charset val="129"/>
        <scheme val="minor"/>
      </rPr>
      <t>답장 기능 개선</t>
    </r>
    <r>
      <rPr>
        <sz val="10"/>
        <rFont val="맑은 고딕"/>
        <family val="3"/>
        <charset val="129"/>
        <scheme val="minor"/>
      </rPr>
      <t xml:space="preserve">
- 답장기능 이용 시 보여지는 기존글 글자수 축소
- 두줄로 표시되고, 나머지 글은 말줄임표로 표시</t>
    </r>
    <phoneticPr fontId="7" type="noConversion"/>
  </si>
  <si>
    <t xml:space="preserve"> 계약 처리 : 고객영업팀 김선태 부장 (kst@bizwell.net) / 070-4616-5017 / 010-3470-1292 
 계산서 발행 : 고객영업팀 김형준 이사 (kimhj@bizwell.net) / 070-4616-5049 / 010-6565-9047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</si>
</sst>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_);[Red]\(0.0\)"/>
    <numFmt numFmtId="178" formatCode="_-* #,##0_-;\-* #,##0_-;_-* &quot;-&quot;_-;_-@_-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name val="Segoe UI Emoj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1">
    <xf numFmtId="0" fontId="0" fillId="0" borderId="0"/>
    <xf numFmtId="41" fontId="6" fillId="0" borderId="0" applyFont="0" applyFill="0" applyBorder="0" applyAlignment="0" applyProtection="0"/>
    <xf numFmtId="0" fontId="8" fillId="0" borderId="0"/>
    <xf numFmtId="0" fontId="2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8" fontId="6" fillId="0" borderId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87">
    <xf numFmtId="0" fontId="0" fillId="0" borderId="0" xfId="0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Alignment="1" applyProtection="1">
      <alignment horizontal="centerContinuous" vertical="center"/>
      <protection locked="0"/>
    </xf>
    <xf numFmtId="0" fontId="14" fillId="0" borderId="0" xfId="2" applyFont="1" applyAlignment="1">
      <alignment horizontal="centerContinuous" vertical="center"/>
    </xf>
    <xf numFmtId="41" fontId="14" fillId="0" borderId="0" xfId="2" applyNumberFormat="1" applyFont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41" fontId="26" fillId="5" borderId="4" xfId="2" applyNumberFormat="1" applyFont="1" applyFill="1" applyBorder="1" applyAlignment="1">
      <alignment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0" fontId="16" fillId="0" borderId="1" xfId="2" applyFont="1" applyBorder="1" applyAlignment="1">
      <alignment horizontal="left" vertical="center" indent="1"/>
    </xf>
    <xf numFmtId="0" fontId="17" fillId="2" borderId="1" xfId="1" applyNumberFormat="1" applyFont="1" applyFill="1" applyBorder="1" applyAlignment="1" applyProtection="1">
      <alignment horizontal="left" vertical="center" indent="1"/>
    </xf>
    <xf numFmtId="176" fontId="16" fillId="0" borderId="4" xfId="1" applyNumberFormat="1" applyFont="1" applyFill="1" applyBorder="1" applyAlignment="1">
      <alignment horizontal="center" vertical="center"/>
    </xf>
    <xf numFmtId="41" fontId="16" fillId="0" borderId="5" xfId="1" applyFont="1" applyFill="1" applyBorder="1" applyAlignment="1">
      <alignment horizontal="right" vertical="center"/>
    </xf>
    <xf numFmtId="41" fontId="16" fillId="0" borderId="5" xfId="1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 wrapText="1"/>
    </xf>
    <xf numFmtId="9" fontId="16" fillId="0" borderId="5" xfId="2" applyNumberFormat="1" applyFont="1" applyBorder="1" applyAlignment="1">
      <alignment vertical="center" wrapText="1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0" fontId="16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6" fillId="6" borderId="1" xfId="0" quotePrefix="1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176" fontId="26" fillId="5" borderId="14" xfId="1" applyNumberFormat="1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6" borderId="4" xfId="0" quotePrefix="1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41" fontId="16" fillId="0" borderId="4" xfId="1" applyFont="1" applyFill="1" applyBorder="1" applyAlignment="1">
      <alignment horizontal="right" vertical="center"/>
    </xf>
    <xf numFmtId="41" fontId="16" fillId="0" borderId="4" xfId="1" applyFont="1" applyFill="1" applyBorder="1" applyAlignment="1">
      <alignment vertical="center"/>
    </xf>
    <xf numFmtId="9" fontId="16" fillId="0" borderId="4" xfId="2" applyNumberFormat="1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</cellXfs>
  <cellStyles count="21">
    <cellStyle name="쉼표 [0]" xfId="1" builtinId="6"/>
    <cellStyle name="쉼표 [0] 2" xfId="16" xr:uid="{FE268053-4525-43FF-B1F5-AF05874579DF}"/>
    <cellStyle name="쉼표 [0] 3" xfId="11" xr:uid="{7311008B-691F-49B3-BA46-07DD359EC0B1}"/>
    <cellStyle name="스타일 1" xfId="7" xr:uid="{00000000-0005-0000-0000-000001000000}"/>
    <cellStyle name="표준" xfId="0" builtinId="0"/>
    <cellStyle name="표준 2" xfId="3" xr:uid="{00000000-0005-0000-0000-000003000000}"/>
    <cellStyle name="표준 2 2" xfId="6" xr:uid="{00000000-0005-0000-0000-000004000000}"/>
    <cellStyle name="표준 2 3" xfId="12" xr:uid="{73B65356-04A0-4376-AC65-B32FD9E46E31}"/>
    <cellStyle name="표준 3" xfId="4" xr:uid="{00000000-0005-0000-0000-000005000000}"/>
    <cellStyle name="표준 3 2" xfId="17" xr:uid="{D0F1ACE0-98E5-4EF8-9CD5-D03E08C7FF99}"/>
    <cellStyle name="표준 3 3" xfId="13" xr:uid="{5C92CF73-BF5A-4538-B0FB-10C5FBA39E03}"/>
    <cellStyle name="표준 4" xfId="5" xr:uid="{00000000-0005-0000-0000-000006000000}"/>
    <cellStyle name="표준 5" xfId="8" xr:uid="{00000000-0005-0000-0000-000007000000}"/>
    <cellStyle name="표준 5 2" xfId="18" xr:uid="{874CC0A4-5F01-4F62-8F14-F9E7478C4C09}"/>
    <cellStyle name="표준 5 3" xfId="14" xr:uid="{60380A3E-E810-404B-9D8B-8CE4DE72C526}"/>
    <cellStyle name="표준 6" xfId="9" xr:uid="{00000000-0005-0000-0000-000008000000}"/>
    <cellStyle name="표준 6 2" xfId="19" xr:uid="{AA1ADBEC-5CCD-4BAA-B7F9-B6922741C31D}"/>
    <cellStyle name="표준 6 3" xfId="15" xr:uid="{5A00E560-53B3-45DB-AB9A-9135EA19422D}"/>
    <cellStyle name="표준 7" xfId="10" xr:uid="{00000000-0005-0000-0000-000009000000}"/>
    <cellStyle name="표준 7 2" xfId="20" xr:uid="{E93C532F-A407-4E58-8070-93A2834991CB}"/>
    <cellStyle name="표준_제출용" xfId="2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showGridLines="0" tabSelected="1" zoomScaleNormal="100" zoomScaleSheetLayoutView="100" workbookViewId="0">
      <selection activeCell="A12" sqref="A12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44140625" style="1" customWidth="1"/>
    <col min="4" max="4" width="28.33203125" style="1" customWidth="1"/>
    <col min="5" max="5" width="5.33203125" style="1" customWidth="1"/>
    <col min="6" max="6" width="9" style="1" customWidth="1"/>
    <col min="7" max="7" width="8.88671875" style="1" customWidth="1"/>
    <col min="8" max="8" width="12.33203125" style="1" customWidth="1"/>
    <col min="9" max="9" width="25.88671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67" t="s">
        <v>13</v>
      </c>
      <c r="B1" s="67"/>
      <c r="C1" s="67"/>
      <c r="D1" s="67"/>
      <c r="E1" s="67"/>
      <c r="F1" s="67"/>
      <c r="G1" s="67"/>
      <c r="H1" s="67"/>
      <c r="I1" s="67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8" t="s">
        <v>5</v>
      </c>
      <c r="B3" s="45" t="s">
        <v>39</v>
      </c>
      <c r="C3" s="19"/>
      <c r="D3" s="24"/>
      <c r="E3" s="29" t="s">
        <v>4</v>
      </c>
      <c r="F3" s="30"/>
      <c r="G3" s="30"/>
      <c r="H3" s="30"/>
      <c r="I3" s="31"/>
    </row>
    <row r="4" spans="1:10" s="3" customFormat="1" ht="20.100000000000001" customHeight="1" x14ac:dyDescent="0.15">
      <c r="A4" s="18" t="s">
        <v>6</v>
      </c>
      <c r="B4" s="45" t="s">
        <v>37</v>
      </c>
      <c r="C4" s="19"/>
      <c r="D4" s="24"/>
      <c r="E4" s="32" t="s">
        <v>12</v>
      </c>
      <c r="F4" s="10"/>
      <c r="G4" s="10"/>
      <c r="H4" s="10"/>
      <c r="I4" s="33"/>
    </row>
    <row r="5" spans="1:10" s="3" customFormat="1" ht="20.100000000000001" customHeight="1" x14ac:dyDescent="0.15">
      <c r="A5" s="18" t="s">
        <v>7</v>
      </c>
      <c r="B5" s="45" t="s">
        <v>38</v>
      </c>
      <c r="C5" s="19"/>
      <c r="D5" s="24"/>
      <c r="E5" s="36" t="s">
        <v>17</v>
      </c>
      <c r="F5" s="10"/>
      <c r="G5" s="10"/>
      <c r="H5" s="10"/>
      <c r="I5" s="33"/>
    </row>
    <row r="6" spans="1:10" s="3" customFormat="1" ht="20.100000000000001" customHeight="1" x14ac:dyDescent="0.15">
      <c r="A6" s="18" t="s">
        <v>8</v>
      </c>
      <c r="B6" s="45" t="s">
        <v>34</v>
      </c>
      <c r="C6" s="19"/>
      <c r="D6" s="24"/>
      <c r="E6" s="37" t="s">
        <v>15</v>
      </c>
      <c r="F6" s="34"/>
      <c r="G6" s="34"/>
      <c r="H6" s="34"/>
      <c r="I6" s="35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0" t="s">
        <v>10</v>
      </c>
      <c r="B8" s="46" t="s">
        <v>40</v>
      </c>
      <c r="C8" s="14"/>
      <c r="D8" s="14"/>
      <c r="E8" s="14"/>
      <c r="F8" s="14"/>
      <c r="G8" s="14"/>
      <c r="H8" s="14"/>
      <c r="I8" s="15"/>
    </row>
    <row r="9" spans="1:10" s="3" customFormat="1" ht="20.100000000000001" customHeight="1" x14ac:dyDescent="0.15">
      <c r="A9" s="21" t="s">
        <v>18</v>
      </c>
      <c r="B9" s="46" t="str">
        <f>TEXT(H20,"일금[DBNum4][$-412]G/표준원정") &amp; " (" &amp; DOLLAR(H20) &amp; " 부가세별도)"</f>
        <v>일금일천이백만원정 (₩12,000,000 부가세별도)</v>
      </c>
      <c r="C9" s="14"/>
      <c r="D9" s="14"/>
      <c r="E9" s="14"/>
      <c r="F9" s="14"/>
      <c r="G9" s="14"/>
      <c r="H9" s="14"/>
      <c r="I9" s="15"/>
    </row>
    <row r="10" spans="1:10" s="4" customFormat="1" ht="14.25" customHeight="1" x14ac:dyDescent="0.25">
      <c r="A10" s="25"/>
      <c r="B10" s="13"/>
      <c r="C10" s="13"/>
      <c r="D10" s="13"/>
      <c r="E10" s="9"/>
      <c r="F10" s="9"/>
      <c r="G10" s="9"/>
      <c r="H10" s="16"/>
      <c r="I10" s="17"/>
    </row>
    <row r="11" spans="1:10" s="4" customFormat="1" ht="20.25" customHeight="1" x14ac:dyDescent="0.25">
      <c r="A11" s="25" t="s">
        <v>14</v>
      </c>
      <c r="B11" s="13"/>
      <c r="C11" s="13"/>
      <c r="D11" s="13"/>
      <c r="E11" s="9"/>
      <c r="F11" s="9"/>
      <c r="G11" s="9"/>
      <c r="H11" s="16"/>
      <c r="I11" s="17" t="s">
        <v>9</v>
      </c>
    </row>
    <row r="12" spans="1:10" s="5" customFormat="1" ht="27.75" customHeight="1" x14ac:dyDescent="0.15">
      <c r="A12" s="22" t="s">
        <v>0</v>
      </c>
      <c r="B12" s="68" t="s">
        <v>1</v>
      </c>
      <c r="C12" s="69"/>
      <c r="D12" s="70"/>
      <c r="E12" s="23" t="s">
        <v>22</v>
      </c>
      <c r="F12" s="23" t="s">
        <v>16</v>
      </c>
      <c r="G12" s="23" t="s">
        <v>2</v>
      </c>
      <c r="H12" s="23" t="s">
        <v>3</v>
      </c>
      <c r="I12" s="23" t="s">
        <v>21</v>
      </c>
      <c r="J12" s="40"/>
    </row>
    <row r="13" spans="1:10" s="5" customFormat="1" ht="50.1" customHeight="1" x14ac:dyDescent="0.15">
      <c r="A13" s="50" t="s">
        <v>36</v>
      </c>
      <c r="B13" s="72" t="s">
        <v>41</v>
      </c>
      <c r="C13" s="73"/>
      <c r="D13" s="74"/>
      <c r="E13" s="47">
        <v>1</v>
      </c>
      <c r="F13" s="48">
        <v>604342.82999999996</v>
      </c>
      <c r="G13" s="48">
        <v>500000</v>
      </c>
      <c r="H13" s="49">
        <f>E13*G$13</f>
        <v>500000</v>
      </c>
      <c r="I13" s="51"/>
      <c r="J13" s="28"/>
    </row>
    <row r="14" spans="1:10" s="5" customFormat="1" ht="50.1" customHeight="1" x14ac:dyDescent="0.15">
      <c r="A14" s="50" t="s">
        <v>36</v>
      </c>
      <c r="B14" s="72" t="s">
        <v>42</v>
      </c>
      <c r="C14" s="73"/>
      <c r="D14" s="74"/>
      <c r="E14" s="47">
        <v>1</v>
      </c>
      <c r="F14" s="48">
        <v>604342.82999999996</v>
      </c>
      <c r="G14" s="48">
        <v>500000</v>
      </c>
      <c r="H14" s="49">
        <f>E14*G$14</f>
        <v>500000</v>
      </c>
      <c r="I14" s="51"/>
      <c r="J14" s="28"/>
    </row>
    <row r="15" spans="1:10" s="5" customFormat="1" ht="50.1" customHeight="1" x14ac:dyDescent="0.15">
      <c r="A15" s="50" t="s">
        <v>36</v>
      </c>
      <c r="B15" s="72" t="s">
        <v>43</v>
      </c>
      <c r="C15" s="73"/>
      <c r="D15" s="74"/>
      <c r="E15" s="47">
        <v>1</v>
      </c>
      <c r="F15" s="48">
        <v>604342.82999999996</v>
      </c>
      <c r="G15" s="48">
        <v>500000</v>
      </c>
      <c r="H15" s="49">
        <f>E15*G$15</f>
        <v>500000</v>
      </c>
      <c r="I15" s="51"/>
      <c r="J15" s="28"/>
    </row>
    <row r="16" spans="1:10" s="5" customFormat="1" ht="50.1" customHeight="1" x14ac:dyDescent="0.15">
      <c r="A16" s="50" t="s">
        <v>36</v>
      </c>
      <c r="B16" s="72" t="s">
        <v>44</v>
      </c>
      <c r="C16" s="73"/>
      <c r="D16" s="74"/>
      <c r="E16" s="47">
        <v>0.5</v>
      </c>
      <c r="F16" s="48">
        <v>604342.82999999996</v>
      </c>
      <c r="G16" s="48">
        <v>500000</v>
      </c>
      <c r="H16" s="49">
        <f>E16*G$16</f>
        <v>250000</v>
      </c>
      <c r="I16" s="51"/>
      <c r="J16" s="28"/>
    </row>
    <row r="17" spans="1:10" s="5" customFormat="1" ht="50.1" customHeight="1" x14ac:dyDescent="0.15">
      <c r="A17" s="50" t="s">
        <v>36</v>
      </c>
      <c r="B17" s="72" t="s">
        <v>45</v>
      </c>
      <c r="C17" s="73"/>
      <c r="D17" s="74"/>
      <c r="E17" s="47">
        <v>15</v>
      </c>
      <c r="F17" s="48">
        <v>604342.82999999996</v>
      </c>
      <c r="G17" s="48">
        <v>500000</v>
      </c>
      <c r="H17" s="49">
        <f>E17*G$17</f>
        <v>7500000</v>
      </c>
      <c r="I17" s="51"/>
      <c r="J17" s="28"/>
    </row>
    <row r="18" spans="1:10" s="5" customFormat="1" ht="50.1" customHeight="1" x14ac:dyDescent="0.15">
      <c r="A18" s="78" t="s">
        <v>36</v>
      </c>
      <c r="B18" s="72" t="s">
        <v>46</v>
      </c>
      <c r="C18" s="73"/>
      <c r="D18" s="74"/>
      <c r="E18" s="47">
        <v>5</v>
      </c>
      <c r="F18" s="48">
        <v>604342.82999999996</v>
      </c>
      <c r="G18" s="48">
        <v>500000</v>
      </c>
      <c r="H18" s="49">
        <f>E18*G$18</f>
        <v>2500000</v>
      </c>
      <c r="I18" s="51"/>
      <c r="J18" s="28"/>
    </row>
    <row r="19" spans="1:10" s="5" customFormat="1" ht="50.1" customHeight="1" x14ac:dyDescent="0.15">
      <c r="A19" s="78" t="s">
        <v>36</v>
      </c>
      <c r="B19" s="79" t="s">
        <v>47</v>
      </c>
      <c r="C19" s="80"/>
      <c r="D19" s="80"/>
      <c r="E19" s="47">
        <v>0.5</v>
      </c>
      <c r="F19" s="81">
        <v>604342.82999999996</v>
      </c>
      <c r="G19" s="81">
        <v>500000</v>
      </c>
      <c r="H19" s="82">
        <f>E19*G$19</f>
        <v>250000</v>
      </c>
      <c r="I19" s="83"/>
      <c r="J19" s="28"/>
    </row>
    <row r="20" spans="1:10" s="5" customFormat="1" ht="24.6" customHeight="1" x14ac:dyDescent="0.15">
      <c r="A20" s="71" t="s">
        <v>35</v>
      </c>
      <c r="B20" s="76"/>
      <c r="C20" s="76"/>
      <c r="D20" s="77"/>
      <c r="E20" s="75">
        <f>SUM(E13:E19)</f>
        <v>24</v>
      </c>
      <c r="F20" s="38"/>
      <c r="G20" s="38"/>
      <c r="H20" s="41">
        <f>SUM(H13:H19)</f>
        <v>12000000</v>
      </c>
      <c r="I20" s="39"/>
      <c r="J20" s="28"/>
    </row>
    <row r="21" spans="1:10" s="4" customFormat="1" ht="14.25" customHeight="1" x14ac:dyDescent="0.25">
      <c r="A21" s="25"/>
      <c r="B21" s="13"/>
      <c r="C21" s="13"/>
      <c r="D21" s="13"/>
      <c r="E21" s="9"/>
      <c r="F21" s="9"/>
      <c r="G21" s="9"/>
      <c r="H21" s="16"/>
      <c r="I21" s="17"/>
    </row>
    <row r="22" spans="1:10" s="3" customFormat="1" ht="17.100000000000001" customHeight="1" x14ac:dyDescent="0.15">
      <c r="A22" s="64" t="s">
        <v>23</v>
      </c>
      <c r="B22" s="55" t="s">
        <v>19</v>
      </c>
      <c r="C22" s="56"/>
      <c r="D22" s="56"/>
      <c r="E22" s="56"/>
      <c r="F22" s="56"/>
      <c r="G22" s="56"/>
      <c r="H22" s="56"/>
      <c r="I22" s="57"/>
    </row>
    <row r="23" spans="1:10" s="3" customFormat="1" ht="17.100000000000001" customHeight="1" x14ac:dyDescent="0.15">
      <c r="A23" s="65"/>
      <c r="B23" s="58" t="s">
        <v>20</v>
      </c>
      <c r="C23" s="59"/>
      <c r="D23" s="59"/>
      <c r="E23" s="59"/>
      <c r="F23" s="59"/>
      <c r="G23" s="59"/>
      <c r="H23" s="59"/>
      <c r="I23" s="60"/>
    </row>
    <row r="24" spans="1:10" s="3" customFormat="1" ht="17.100000000000001" customHeight="1" x14ac:dyDescent="0.15">
      <c r="A24" s="65"/>
      <c r="B24" s="58" t="s">
        <v>24</v>
      </c>
      <c r="C24" s="59"/>
      <c r="D24" s="59"/>
      <c r="E24" s="59"/>
      <c r="F24" s="59"/>
      <c r="G24" s="59"/>
      <c r="H24" s="59"/>
      <c r="I24" s="60"/>
    </row>
    <row r="25" spans="1:10" s="3" customFormat="1" ht="17.100000000000001" customHeight="1" x14ac:dyDescent="0.15">
      <c r="A25" s="65"/>
      <c r="B25" s="61" t="s">
        <v>25</v>
      </c>
      <c r="C25" s="62"/>
      <c r="D25" s="62"/>
      <c r="E25" s="62"/>
      <c r="F25" s="62"/>
      <c r="G25" s="62"/>
      <c r="H25" s="62"/>
      <c r="I25" s="63"/>
    </row>
    <row r="26" spans="1:10" s="3" customFormat="1" ht="17.100000000000001" customHeight="1" x14ac:dyDescent="0.15">
      <c r="A26" s="65"/>
      <c r="B26" s="58" t="s">
        <v>26</v>
      </c>
      <c r="C26" s="59"/>
      <c r="D26" s="59"/>
      <c r="E26" s="59"/>
      <c r="F26" s="59"/>
      <c r="G26" s="59"/>
      <c r="H26" s="59"/>
      <c r="I26" s="60"/>
    </row>
    <row r="27" spans="1:10" s="3" customFormat="1" ht="17.100000000000001" customHeight="1" x14ac:dyDescent="0.15">
      <c r="A27" s="65"/>
      <c r="B27" s="61" t="s">
        <v>27</v>
      </c>
      <c r="C27" s="62"/>
      <c r="D27" s="62"/>
      <c r="E27" s="62"/>
      <c r="F27" s="62"/>
      <c r="G27" s="62"/>
      <c r="H27" s="62"/>
      <c r="I27" s="63"/>
    </row>
    <row r="28" spans="1:10" s="3" customFormat="1" ht="17.100000000000001" customHeight="1" x14ac:dyDescent="0.15">
      <c r="A28" s="65"/>
      <c r="B28" s="61" t="s">
        <v>28</v>
      </c>
      <c r="C28" s="62"/>
      <c r="D28" s="62"/>
      <c r="E28" s="62"/>
      <c r="F28" s="62"/>
      <c r="G28" s="62"/>
      <c r="H28" s="62"/>
      <c r="I28" s="63"/>
    </row>
    <row r="29" spans="1:10" s="3" customFormat="1" ht="17.100000000000001" customHeight="1" x14ac:dyDescent="0.15">
      <c r="A29" s="65"/>
      <c r="B29" s="42" t="s">
        <v>29</v>
      </c>
      <c r="C29" s="43"/>
      <c r="D29" s="43"/>
      <c r="E29" s="43"/>
      <c r="F29" s="43"/>
      <c r="G29" s="43"/>
      <c r="H29" s="43"/>
      <c r="I29" s="44"/>
    </row>
    <row r="30" spans="1:10" s="3" customFormat="1" ht="17.100000000000001" customHeight="1" x14ac:dyDescent="0.15">
      <c r="A30" s="65"/>
      <c r="B30" s="58" t="s">
        <v>30</v>
      </c>
      <c r="C30" s="59"/>
      <c r="D30" s="59"/>
      <c r="E30" s="59"/>
      <c r="F30" s="59"/>
      <c r="G30" s="59"/>
      <c r="H30" s="59"/>
      <c r="I30" s="60"/>
    </row>
    <row r="31" spans="1:10" s="3" customFormat="1" ht="17.100000000000001" customHeight="1" x14ac:dyDescent="0.15">
      <c r="A31" s="65"/>
      <c r="B31" s="58" t="s">
        <v>31</v>
      </c>
      <c r="C31" s="59"/>
      <c r="D31" s="59"/>
      <c r="E31" s="59"/>
      <c r="F31" s="59"/>
      <c r="G31" s="59"/>
      <c r="H31" s="59"/>
      <c r="I31" s="60"/>
    </row>
    <row r="32" spans="1:10" s="3" customFormat="1" ht="17.100000000000001" customHeight="1" x14ac:dyDescent="0.15">
      <c r="A32" s="65"/>
      <c r="B32" s="58" t="s">
        <v>32</v>
      </c>
      <c r="C32" s="59"/>
      <c r="D32" s="59"/>
      <c r="E32" s="59"/>
      <c r="F32" s="59"/>
      <c r="G32" s="59"/>
      <c r="H32" s="59"/>
      <c r="I32" s="60"/>
    </row>
    <row r="33" spans="1:9" s="3" customFormat="1" ht="17.100000000000001" customHeight="1" x14ac:dyDescent="0.15">
      <c r="A33" s="65"/>
      <c r="B33" s="58" t="s">
        <v>33</v>
      </c>
      <c r="C33" s="59"/>
      <c r="D33" s="59"/>
      <c r="E33" s="59"/>
      <c r="F33" s="59"/>
      <c r="G33" s="59"/>
      <c r="H33" s="59"/>
      <c r="I33" s="60"/>
    </row>
    <row r="34" spans="1:9" s="3" customFormat="1" ht="17.100000000000001" customHeight="1" x14ac:dyDescent="0.15">
      <c r="A34" s="66"/>
      <c r="B34" s="52"/>
      <c r="C34" s="53"/>
      <c r="D34" s="53"/>
      <c r="E34" s="53"/>
      <c r="F34" s="53"/>
      <c r="G34" s="53"/>
      <c r="H34" s="53"/>
      <c r="I34" s="54"/>
    </row>
    <row r="35" spans="1:9" s="27" customFormat="1" ht="39.950000000000003" customHeight="1" x14ac:dyDescent="0.15">
      <c r="A35" s="26" t="s">
        <v>11</v>
      </c>
      <c r="B35" s="86" t="s">
        <v>48</v>
      </c>
      <c r="C35" s="84"/>
      <c r="D35" s="84"/>
      <c r="E35" s="84"/>
      <c r="F35" s="84"/>
      <c r="G35" s="84"/>
      <c r="H35" s="84"/>
      <c r="I35" s="85"/>
    </row>
    <row r="36" spans="1:9" customFormat="1" ht="15.95" customHeight="1" x14ac:dyDescent="0.15"/>
    <row r="37" spans="1:9" s="2" customFormat="1" x14ac:dyDescent="0.15"/>
    <row r="38" spans="1:9" s="2" customFormat="1" x14ac:dyDescent="0.15"/>
    <row r="39" spans="1:9" s="2" customFormat="1" x14ac:dyDescent="0.15"/>
    <row r="40" spans="1:9" s="2" customFormat="1" x14ac:dyDescent="0.15"/>
    <row r="41" spans="1:9" s="2" customFormat="1" x14ac:dyDescent="0.15"/>
    <row r="42" spans="1:9" s="2" customFormat="1" x14ac:dyDescent="0.15"/>
  </sheetData>
  <mergeCells count="24">
    <mergeCell ref="A22:A34"/>
    <mergeCell ref="B28:I28"/>
    <mergeCell ref="A1:I1"/>
    <mergeCell ref="B12:D12"/>
    <mergeCell ref="A20:D20"/>
    <mergeCell ref="B13:D13"/>
    <mergeCell ref="B15:D15"/>
    <mergeCell ref="B16:D16"/>
    <mergeCell ref="B17:D17"/>
    <mergeCell ref="B14:D14"/>
    <mergeCell ref="B18:D18"/>
    <mergeCell ref="B19:D19"/>
    <mergeCell ref="B34:I34"/>
    <mergeCell ref="B22:I22"/>
    <mergeCell ref="B23:I23"/>
    <mergeCell ref="B33:I33"/>
    <mergeCell ref="B25:I25"/>
    <mergeCell ref="B32:I32"/>
    <mergeCell ref="B26:I26"/>
    <mergeCell ref="B31:I31"/>
    <mergeCell ref="B27:I27"/>
    <mergeCell ref="B30:I30"/>
    <mergeCell ref="B24:I24"/>
    <mergeCell ref="B35:I35"/>
  </mergeCells>
  <phoneticPr fontId="7" type="noConversion"/>
  <dataValidations disablePrompts="1"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7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madssh</dc:creator>
  <cp:lastModifiedBy>상호 심</cp:lastModifiedBy>
  <cp:lastPrinted>2017-02-06T07:43:16Z</cp:lastPrinted>
  <dcterms:created xsi:type="dcterms:W3CDTF">2001-05-22T00:47:40Z</dcterms:created>
  <dcterms:modified xsi:type="dcterms:W3CDTF">2025-02-10T03:20:46Z</dcterms:modified>
</cp:coreProperties>
</file>