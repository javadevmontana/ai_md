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505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_ "/>
  </numFmts>
  <fonts count="22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MS Sans Serif"/>
      <family val="2"/>
      <sz val="10"/>
    </font>
    <font>
      <name val="굴림체"/>
      <charset val="129"/>
      <family val="3"/>
      <b val="1"/>
      <sz val="9"/>
    </font>
    <font>
      <name val="굴림체"/>
      <charset val="129"/>
      <family val="3"/>
      <sz val="11"/>
    </font>
    <font>
      <name val="HY그래픽M"/>
      <charset val="129"/>
      <family val="1"/>
      <b val="1"/>
      <sz val="14"/>
    </font>
    <font>
      <name val="HY그래픽M"/>
      <charset val="129"/>
      <family val="1"/>
      <sz val="9"/>
    </font>
    <font>
      <name val="HY그래픽M"/>
      <charset val="129"/>
      <family val="1"/>
      <sz val="11"/>
    </font>
    <font>
      <name val="HY그래픽M"/>
      <charset val="129"/>
      <family val="1"/>
      <sz val="10"/>
    </font>
    <font>
      <name val="맑은 고딕"/>
      <charset val="129"/>
      <family val="3"/>
      <b val="1"/>
      <sz val="2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b val="1"/>
      <color indexed="8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8"/>
      <scheme val="major"/>
    </font>
    <font>
      <name val="맑은 고딕"/>
      <charset val="129"/>
      <family val="2"/>
      <color theme="1"/>
      <sz val="11"/>
    </font>
    <font>
      <name val="맑은 고딕"/>
      <charset val="129"/>
      <family val="3"/>
      <sz val="8"/>
      <scheme val="minor"/>
    </font>
    <font>
      <name val="돋움"/>
      <charset val="129"/>
      <family val="3"/>
      <b val="1"/>
      <sz val="11"/>
    </font>
    <font>
      <name val="맑은 고딕"/>
      <charset val="129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</borders>
  <cellStyleXfs count="4">
    <xf numFmtId="0" fontId="1" fillId="0" borderId="0"/>
    <xf numFmtId="41" fontId="1" fillId="0" borderId="0"/>
    <xf numFmtId="0" fontId="3" fillId="0" borderId="0"/>
    <xf numFmtId="0" fontId="18" fillId="0" borderId="0" applyAlignment="1">
      <alignment vertical="center"/>
    </xf>
  </cellStyleXfs>
  <cellXfs count="10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0" fontId="7" fillId="0" borderId="0" applyAlignment="1" pivotButton="0" quotePrefix="0" xfId="0">
      <alignment vertical="center"/>
    </xf>
    <xf numFmtId="0" fontId="10" fillId="0" borderId="0" applyAlignment="1" applyProtection="1" pivotButton="0" quotePrefix="0" xfId="2">
      <alignment horizontal="centerContinuous" vertical="center"/>
      <protection locked="0" hidden="0"/>
    </xf>
    <xf numFmtId="0" fontId="10" fillId="0" borderId="0" applyAlignment="1" pivotButton="0" quotePrefix="0" xfId="2">
      <alignment horizontal="centerContinuous" vertical="center"/>
    </xf>
    <xf numFmtId="164" fontId="10" fillId="0" borderId="0" applyAlignment="1" pivotButton="0" quotePrefix="0" xfId="2">
      <alignment horizontal="centerContinuous" vertical="center"/>
    </xf>
    <xf numFmtId="164" fontId="11" fillId="0" borderId="0" applyAlignment="1" pivotButton="0" quotePrefix="0" xfId="2">
      <alignment horizontal="center" vertical="center"/>
    </xf>
    <xf numFmtId="49" fontId="11" fillId="0" borderId="0" applyAlignment="1" pivotButton="0" quotePrefix="0" xfId="2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center" vertical="center"/>
    </xf>
    <xf numFmtId="0" fontId="13" fillId="2" borderId="1" applyAlignment="1" pivotButton="0" quotePrefix="0" xfId="1">
      <alignment vertical="center"/>
    </xf>
    <xf numFmtId="0" fontId="14" fillId="2" borderId="2" applyAlignment="1" pivotButton="0" quotePrefix="0" xfId="1">
      <alignment vertical="center"/>
    </xf>
    <xf numFmtId="49" fontId="11" fillId="0" borderId="3" applyAlignment="1" pivotButton="0" quotePrefix="0" xfId="2">
      <alignment vertical="center"/>
    </xf>
    <xf numFmtId="164" fontId="11" fillId="0" borderId="0" applyAlignment="1" pivotButton="0" quotePrefix="0" xfId="2">
      <alignment horizontal="center"/>
    </xf>
    <xf numFmtId="0" fontId="15" fillId="0" borderId="0" applyAlignment="1" pivotButton="0" quotePrefix="0" xfId="0">
      <alignment horizontal="right" vertical="center"/>
    </xf>
    <xf numFmtId="0" fontId="11" fillId="4" borderId="1" applyAlignment="1" pivotButton="0" quotePrefix="0" xfId="2">
      <alignment horizontal="center" vertical="center"/>
    </xf>
    <xf numFmtId="0" fontId="11" fillId="0" borderId="3" applyAlignment="1" pivotButton="0" quotePrefix="0" xfId="2">
      <alignment horizontal="center" vertical="center"/>
    </xf>
    <xf numFmtId="0" fontId="12" fillId="0" borderId="1" applyAlignment="1" pivotButton="0" quotePrefix="0" xfId="2">
      <alignment horizontal="left" vertical="center"/>
    </xf>
    <xf numFmtId="0" fontId="11" fillId="4" borderId="6" applyAlignment="1" pivotButton="0" quotePrefix="0" xfId="2">
      <alignment horizontal="center" vertical="center"/>
    </xf>
    <xf numFmtId="0" fontId="11" fillId="4" borderId="4" applyAlignment="1" pivotButton="0" quotePrefix="0" xfId="2">
      <alignment horizontal="center" vertical="center"/>
    </xf>
    <xf numFmtId="0" fontId="15" fillId="4" borderId="5" applyAlignment="1" pivotButton="0" quotePrefix="0" xfId="2">
      <alignment horizontal="center" vertical="center"/>
    </xf>
    <xf numFmtId="164" fontId="15" fillId="4" borderId="5" applyAlignment="1" pivotButton="0" quotePrefix="0" xfId="1">
      <alignment horizontal="center" vertical="center"/>
    </xf>
    <xf numFmtId="0" fontId="11" fillId="0" borderId="8" applyAlignment="1" pivotButton="0" quotePrefix="0" xfId="2">
      <alignment horizontal="center" vertical="center"/>
    </xf>
    <xf numFmtId="49" fontId="11" fillId="0" borderId="0" applyAlignment="1" pivotButton="0" quotePrefix="0" xfId="2">
      <alignment vertical="center"/>
    </xf>
    <xf numFmtId="0" fontId="12" fillId="0" borderId="0" applyAlignment="1" pivotButton="0" quotePrefix="0" xfId="2">
      <alignment vertical="center"/>
    </xf>
    <xf numFmtId="164" fontId="16" fillId="5" borderId="7" applyAlignment="1" pivotButton="0" quotePrefix="0" xfId="1">
      <alignment horizontal="center" vertical="center"/>
    </xf>
    <xf numFmtId="164" fontId="16" fillId="5" borderId="7" applyAlignment="1" pivotButton="0" quotePrefix="0" xfId="2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49" fontId="12" fillId="0" borderId="6" applyAlignment="1" pivotButton="0" quotePrefix="0" xfId="2">
      <alignment vertical="center"/>
    </xf>
    <xf numFmtId="164" fontId="11" fillId="0" borderId="14" applyAlignment="1" pivotButton="0" quotePrefix="0" xfId="2">
      <alignment horizontal="center" vertical="center"/>
    </xf>
    <xf numFmtId="0" fontId="9" fillId="0" borderId="15" applyAlignment="1" pivotButton="0" quotePrefix="0" xfId="0">
      <alignment vertical="center"/>
    </xf>
    <xf numFmtId="49" fontId="12" fillId="0" borderId="8" applyAlignment="1" pivotButton="0" quotePrefix="0" xfId="2">
      <alignment vertical="center"/>
    </xf>
    <xf numFmtId="0" fontId="9" fillId="0" borderId="13" applyAlignment="1" pivotButton="0" quotePrefix="0" xfId="0">
      <alignment vertical="center"/>
    </xf>
    <xf numFmtId="49" fontId="12" fillId="0" borderId="9" applyAlignment="1" pivotButton="0" quotePrefix="0" xfId="2">
      <alignment vertical="center"/>
    </xf>
    <xf numFmtId="49" fontId="11" fillId="0" borderId="10" applyAlignment="1" pivotButton="0" quotePrefix="0" xfId="2">
      <alignment vertical="center"/>
    </xf>
    <xf numFmtId="0" fontId="9" fillId="0" borderId="11" applyAlignment="1" pivotButton="0" quotePrefix="0" xfId="0">
      <alignment vertical="center"/>
    </xf>
    <xf numFmtId="0" fontId="15" fillId="0" borderId="12" applyAlignment="1" pivotButton="0" quotePrefix="0" xfId="2">
      <alignment horizontal="center" vertical="center"/>
    </xf>
    <xf numFmtId="165" fontId="15" fillId="0" borderId="12" applyAlignment="1" pivotButton="0" quotePrefix="0" xfId="1">
      <alignment horizontal="center" vertical="center"/>
    </xf>
    <xf numFmtId="164" fontId="15" fillId="2" borderId="12" applyAlignment="1" pivotButton="0" quotePrefix="0" xfId="1">
      <alignment horizontal="center" vertical="center"/>
    </xf>
    <xf numFmtId="9" fontId="15" fillId="0" borderId="12" applyAlignment="1" pivotButton="0" quotePrefix="0" xfId="0">
      <alignment horizontal="center" vertical="center"/>
    </xf>
    <xf numFmtId="164" fontId="15" fillId="0" borderId="21" applyAlignment="1" pivotButton="0" quotePrefix="0" xfId="1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left" vertical="center"/>
    </xf>
    <xf numFmtId="0" fontId="20" fillId="0" borderId="0" pivotButton="0" quotePrefix="0" xfId="0"/>
    <xf numFmtId="0" fontId="20" fillId="0" borderId="13" pivotButton="0" quotePrefix="0" xfId="0"/>
    <xf numFmtId="0" fontId="12" fillId="0" borderId="9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17" fillId="3" borderId="0" applyAlignment="1" applyProtection="1" pivotButton="0" quotePrefix="0" xfId="2">
      <alignment horizontal="center" vertical="center"/>
      <protection locked="0" hidden="0"/>
    </xf>
    <xf numFmtId="0" fontId="15" fillId="4" borderId="6" applyAlignment="1" pivotButton="0" quotePrefix="0" xfId="2">
      <alignment horizontal="center" vertical="center"/>
    </xf>
    <xf numFmtId="0" fontId="15" fillId="4" borderId="15" applyAlignment="1" pivotButton="0" quotePrefix="0" xfId="2">
      <alignment horizontal="center" vertical="center"/>
    </xf>
    <xf numFmtId="0" fontId="12" fillId="0" borderId="8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3" pivotButton="0" quotePrefix="0" xfId="0"/>
    <xf numFmtId="0" fontId="12" fillId="0" borderId="6" applyAlignment="1" pivotButton="0" quotePrefix="0" xfId="0">
      <alignment horizontal="left" vertical="center"/>
    </xf>
    <xf numFmtId="0" fontId="12" fillId="0" borderId="14" applyAlignment="1" pivotButton="0" quotePrefix="0" xfId="0">
      <alignment horizontal="left" vertical="center"/>
    </xf>
    <xf numFmtId="0" fontId="12" fillId="0" borderId="15" applyAlignment="1" pivotButton="0" quotePrefix="0" xfId="0">
      <alignment horizontal="left" vertical="center"/>
    </xf>
    <xf numFmtId="0" fontId="16" fillId="5" borderId="16" applyAlignment="1" pivotButton="0" quotePrefix="0" xfId="0">
      <alignment horizontal="center" vertical="center"/>
    </xf>
    <xf numFmtId="0" fontId="16" fillId="5" borderId="17" applyAlignment="1" pivotButton="0" quotePrefix="0" xfId="0">
      <alignment horizontal="center" vertical="center"/>
    </xf>
    <xf numFmtId="0" fontId="16" fillId="5" borderId="18" applyAlignment="1" pivotButton="0" quotePrefix="0" xfId="0">
      <alignment horizontal="center" vertical="center"/>
    </xf>
    <xf numFmtId="0" fontId="15" fillId="0" borderId="19" applyAlignment="1" pivotButton="0" quotePrefix="1" xfId="2">
      <alignment horizontal="left" vertical="center" wrapText="1"/>
    </xf>
    <xf numFmtId="0" fontId="15" fillId="0" borderId="20" applyAlignment="1" pivotButton="0" quotePrefix="0" xfId="2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20" fillId="0" borderId="0" pivotButton="0" quotePrefix="0" xfId="0"/>
    <xf numFmtId="0" fontId="20" fillId="0" borderId="13" pivotButton="0" quotePrefix="0" xfId="0"/>
    <xf numFmtId="0" fontId="15" fillId="0" borderId="1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5" fillId="0" borderId="3" applyAlignment="1" pivotButton="0" quotePrefix="0" xfId="0">
      <alignment horizontal="left" vertical="center"/>
    </xf>
    <xf numFmtId="0" fontId="12" fillId="0" borderId="9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2" fillId="0" borderId="11" applyAlignment="1" pivotButton="0" quotePrefix="0" xfId="0">
      <alignment horizontal="left" vertical="center"/>
    </xf>
    <xf numFmtId="0" fontId="0" fillId="0" borderId="0" applyProtection="1" pivotButton="0" quotePrefix="0" xfId="0">
      <protection locked="0" hidden="0"/>
    </xf>
    <xf numFmtId="164" fontId="10" fillId="0" borderId="0" applyAlignment="1" pivotButton="0" quotePrefix="0" xfId="2">
      <alignment horizontal="centerContinuous" vertical="center"/>
    </xf>
    <xf numFmtId="164" fontId="11" fillId="0" borderId="14" applyAlignment="1" pivotButton="0" quotePrefix="0" xfId="2">
      <alignment horizontal="center" vertical="center"/>
    </xf>
    <xf numFmtId="164" fontId="11" fillId="0" borderId="0" applyAlignment="1" pivotButton="0" quotePrefix="0" xfId="2">
      <alignment horizontal="center" vertical="center"/>
    </xf>
    <xf numFmtId="164" fontId="11" fillId="0" borderId="0" applyAlignment="1" pivotButton="0" quotePrefix="0" xfId="2">
      <alignment horizontal="center"/>
    </xf>
    <xf numFmtId="0" fontId="0" fillId="0" borderId="15" pivotButton="0" quotePrefix="0" xfId="0"/>
    <xf numFmtId="164" fontId="15" fillId="4" borderId="5" applyAlignment="1" pivotButton="0" quotePrefix="0" xfId="1">
      <alignment horizontal="center" vertical="center"/>
    </xf>
    <xf numFmtId="0" fontId="15" fillId="0" borderId="12" applyAlignment="1" pivotButton="0" quotePrefix="1" xfId="2">
      <alignment horizontal="left" vertical="center" wrapText="1"/>
    </xf>
    <xf numFmtId="0" fontId="0" fillId="0" borderId="20" pivotButton="0" quotePrefix="0" xfId="0"/>
    <xf numFmtId="165" fontId="15" fillId="0" borderId="12" applyAlignment="1" pivotButton="0" quotePrefix="0" xfId="1">
      <alignment horizontal="center" vertical="center"/>
    </xf>
    <xf numFmtId="164" fontId="15" fillId="0" borderId="21" applyAlignment="1" pivotButton="0" quotePrefix="0" xfId="1">
      <alignment horizontal="center" vertical="center"/>
    </xf>
    <xf numFmtId="164" fontId="15" fillId="2" borderId="12" applyAlignment="1" pivotButton="0" quotePrefix="0" xfId="1">
      <alignment horizontal="center" vertical="center"/>
    </xf>
    <xf numFmtId="0" fontId="16" fillId="5" borderId="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4" fontId="16" fillId="5" borderId="7" applyAlignment="1" pivotButton="0" quotePrefix="0" xfId="1">
      <alignment horizontal="center" vertical="center"/>
    </xf>
    <xf numFmtId="164" fontId="16" fillId="5" borderId="7" applyAlignment="1" pivotButton="0" quotePrefix="0" xfId="2">
      <alignment horizontal="center" vertical="center"/>
    </xf>
    <xf numFmtId="164" fontId="7" fillId="0" borderId="0" applyAlignment="1" pivotButton="0" quotePrefix="0" xfId="0">
      <alignment vertical="center"/>
    </xf>
    <xf numFmtId="0" fontId="12" fillId="0" borderId="5" applyAlignment="1" pivotButton="0" quotePrefix="0" xfId="0">
      <alignment horizontal="left" vertical="center"/>
    </xf>
    <xf numFmtId="0" fontId="0" fillId="0" borderId="14" pivotButton="0" quotePrefix="0" xfId="0"/>
    <xf numFmtId="0" fontId="12" fillId="0" borderId="22" applyAlignment="1" pivotButton="0" quotePrefix="0" xfId="0">
      <alignment horizontal="left" vertical="center"/>
    </xf>
    <xf numFmtId="0" fontId="11" fillId="0" borderId="22" applyAlignment="1" pivotButton="0" quotePrefix="0" xfId="0">
      <alignment horizontal="left" vertical="center"/>
    </xf>
    <xf numFmtId="0" fontId="12" fillId="0" borderId="23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15" fillId="0" borderId="4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</cellXfs>
  <cellStyles count="4">
    <cellStyle name="표준" xfId="0" builtinId="0"/>
    <cellStyle name="쉼표 [0]" xfId="1" builtinId="6"/>
    <cellStyle name="표준_제출용" xfId="2"/>
    <cellStyle name="표준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tabSelected="1" zoomScaleNormal="100" workbookViewId="0">
      <selection activeCell="I14" sqref="I14"/>
    </sheetView>
  </sheetViews>
  <sheetFormatPr baseColWidth="8" defaultColWidth="8.88671875" defaultRowHeight="13.5"/>
  <cols>
    <col width="11.33203125" customWidth="1" style="1" min="1" max="1"/>
    <col width="11.109375" customWidth="1" style="1" min="2" max="2"/>
    <col width="23.44140625" customWidth="1" style="1" min="3" max="3"/>
    <col width="12.109375" customWidth="1" style="1" min="4" max="4"/>
    <col width="8.109375" customWidth="1" style="1" min="5" max="5"/>
    <col width="10.5546875" bestFit="1" customWidth="1" style="1" min="6" max="6"/>
    <col width="9.6640625" bestFit="1" customWidth="1" style="1" min="7" max="7"/>
    <col width="10.77734375" customWidth="1" style="1" min="8" max="8"/>
    <col width="21.21875" customWidth="1" style="1" min="9" max="9"/>
    <col width="10.6640625" bestFit="1" customWidth="1" style="1" min="10" max="10"/>
    <col width="8.88671875" customWidth="1" style="1" min="11" max="16384"/>
  </cols>
  <sheetData>
    <row r="1" ht="15.75" customFormat="1" customHeight="1" s="4">
      <c r="A1" s="2" t="n"/>
      <c r="B1" s="3" t="n"/>
      <c r="C1" s="3" t="n"/>
      <c r="D1" s="3" t="n"/>
      <c r="E1" s="3" t="n"/>
      <c r="F1" s="3" t="n"/>
      <c r="G1" s="3" t="n"/>
      <c r="H1" s="3" t="n"/>
      <c r="I1" s="3" t="n"/>
    </row>
    <row r="2" ht="29.25" customFormat="1" customHeight="1" s="4">
      <c r="A2" s="56" t="inlineStr">
        <is>
          <t>견   적   서</t>
        </is>
      </c>
      <c r="B2" s="79" t="n"/>
      <c r="C2" s="79" t="n"/>
      <c r="D2" s="79" t="n"/>
      <c r="E2" s="79" t="n"/>
      <c r="F2" s="79" t="n"/>
      <c r="G2" s="79" t="n"/>
      <c r="H2" s="79" t="n"/>
      <c r="I2" s="79" t="n"/>
    </row>
    <row r="3" ht="16.5" customFormat="1" customHeight="1" s="4">
      <c r="A3" s="8" t="n"/>
      <c r="B3" s="9" t="n"/>
      <c r="C3" s="9" t="n"/>
      <c r="D3" s="9" t="n"/>
      <c r="E3" s="80" t="n"/>
      <c r="F3" s="80" t="n"/>
      <c r="G3" s="80" t="n"/>
      <c r="H3" s="80" t="n"/>
      <c r="I3" s="80" t="n"/>
    </row>
    <row r="4" ht="20.1" customFormat="1" customHeight="1" s="5">
      <c r="A4" s="21" t="inlineStr">
        <is>
          <t>견적 번호</t>
        </is>
      </c>
      <c r="B4" s="23" t="inlineStr">
        <is>
          <t>2026-김포도시철도-D01</t>
        </is>
      </c>
      <c r="C4" s="22" t="n"/>
      <c r="D4" s="28" t="n"/>
      <c r="E4" s="36" t="inlineStr">
        <is>
          <t xml:space="preserve"> 주식회사  비 즈 웰</t>
        </is>
      </c>
      <c r="F4" s="81" t="n"/>
      <c r="G4" s="81" t="n"/>
      <c r="H4" s="81" t="n"/>
      <c r="I4" s="38" t="n"/>
    </row>
    <row r="5" ht="20.1" customFormat="1" customHeight="1" s="5">
      <c r="A5" s="21" t="inlineStr">
        <is>
          <t>제  출  처</t>
        </is>
      </c>
      <c r="B5" s="23" t="inlineStr">
        <is>
          <t>김포도시철도 귀증</t>
        </is>
      </c>
      <c r="C5" s="22" t="n"/>
      <c r="D5" s="28" t="n"/>
      <c r="E5" s="39" t="inlineStr">
        <is>
          <t xml:space="preserve"> 대표이사  신 재 복        (직인생략)</t>
        </is>
      </c>
      <c r="F5" s="29" t="n"/>
      <c r="G5" s="29" t="n"/>
      <c r="H5" s="29" t="n"/>
      <c r="I5" s="40" t="n"/>
    </row>
    <row r="6" ht="20.1" customFormat="1" customHeight="1" s="5">
      <c r="A6" s="21" t="inlineStr">
        <is>
          <t>견적 일자</t>
        </is>
      </c>
      <c r="B6" s="23" t="inlineStr">
        <is>
          <t>2026.01.16</t>
        </is>
      </c>
      <c r="C6" s="22" t="n"/>
      <c r="D6" s="28" t="n"/>
      <c r="E6" s="39" t="inlineStr">
        <is>
          <t xml:space="preserve"> 경기도 안양시 동안구 학의로 282 금강IT타워 B-1915</t>
        </is>
      </c>
      <c r="F6" s="29" t="n"/>
      <c r="G6" s="29" t="n"/>
      <c r="H6" s="29" t="n"/>
      <c r="I6" s="40" t="n"/>
    </row>
    <row r="7" ht="20.1" customFormat="1" customHeight="1" s="5">
      <c r="A7" s="21" t="inlineStr">
        <is>
          <t>유효 기간</t>
        </is>
      </c>
      <c r="B7" s="23" t="inlineStr">
        <is>
          <t xml:space="preserve"> 견적일로부터 1개월</t>
        </is>
      </c>
      <c r="C7" s="22" t="n"/>
      <c r="D7" s="28" t="n"/>
      <c r="E7" s="41" t="inlineStr">
        <is>
          <t xml:space="preserve"> Tel) 031-425-5820   Fax) 031-450-5821</t>
        </is>
      </c>
      <c r="F7" s="42" t="n"/>
      <c r="G7" s="42" t="n"/>
      <c r="H7" s="42" t="n"/>
      <c r="I7" s="43" t="n"/>
    </row>
    <row r="8" ht="13.5" customFormat="1" customHeight="1" s="5">
      <c r="A8" s="13" t="n"/>
      <c r="B8" s="14" t="n"/>
      <c r="C8" s="15" t="n"/>
      <c r="D8" s="15" t="n"/>
      <c r="E8" s="13" t="n"/>
      <c r="F8" s="13" t="n"/>
      <c r="G8" s="13" t="n"/>
      <c r="H8" s="29" t="n"/>
      <c r="I8" s="29" t="n"/>
    </row>
    <row r="9" ht="20.1" customFormat="1" customHeight="1" s="5">
      <c r="A9" s="24" t="inlineStr">
        <is>
          <t>견  적  명</t>
        </is>
      </c>
      <c r="B9" s="16" t="inlineStr">
        <is>
          <t>SSL 인증서 적용 견적서</t>
        </is>
      </c>
      <c r="C9" s="17" t="n"/>
      <c r="D9" s="17" t="n"/>
      <c r="E9" s="17" t="n"/>
      <c r="F9" s="17" t="n"/>
      <c r="G9" s="17" t="n"/>
      <c r="H9" s="17" t="n"/>
      <c r="I9" s="18" t="n"/>
    </row>
    <row r="10" ht="20.1" customFormat="1" customHeight="1" s="5">
      <c r="A10" s="25" t="inlineStr">
        <is>
          <t xml:space="preserve">견적 금액 </t>
        </is>
      </c>
      <c r="B10" s="16">
        <f>TEXT(H15," 일금[DBNum4][$-412]G/표준원정") &amp; " (" &amp; DOLLAR(H15) &amp; " 부가세별도)"</f>
        <v/>
      </c>
      <c r="C10" s="17" t="n"/>
      <c r="D10" s="17" t="n"/>
      <c r="E10" s="17" t="n"/>
      <c r="F10" s="17" t="n"/>
      <c r="G10" s="17" t="n"/>
      <c r="H10" s="17" t="n"/>
      <c r="I10" s="18" t="n"/>
    </row>
    <row r="11" ht="14.25" customFormat="1" customHeight="1" s="6">
      <c r="A11" s="30" t="n"/>
      <c r="B11" s="15" t="n"/>
      <c r="C11" s="15" t="n"/>
      <c r="D11" s="15" t="n"/>
      <c r="E11" s="82" t="n"/>
      <c r="F11" s="82" t="n"/>
      <c r="G11" s="82" t="n"/>
      <c r="H11" s="83" t="n"/>
      <c r="I11" s="20" t="n"/>
    </row>
    <row r="12" ht="20.25" customFormat="1" customHeight="1" s="6">
      <c r="A12" s="30" t="inlineStr">
        <is>
          <t xml:space="preserve"> 아래와 같이 가격 제안합니다.</t>
        </is>
      </c>
      <c r="B12" s="15" t="n"/>
      <c r="C12" s="15" t="n"/>
      <c r="D12" s="15" t="n"/>
      <c r="E12" s="82" t="n"/>
      <c r="F12" s="82" t="n"/>
      <c r="G12" s="82" t="n"/>
      <c r="H12" s="83" t="n"/>
      <c r="I12" s="20" t="inlineStr">
        <is>
          <t>(단위:원, 부가세별도)</t>
        </is>
      </c>
    </row>
    <row r="13" ht="20.1" customFormat="1" customHeight="1" s="7">
      <c r="A13" s="26" t="inlineStr">
        <is>
          <t>항 목</t>
        </is>
      </c>
      <c r="B13" s="26" t="inlineStr">
        <is>
          <t>구 분</t>
        </is>
      </c>
      <c r="C13" s="26" t="inlineStr">
        <is>
          <t>내   용</t>
        </is>
      </c>
      <c r="D13" s="84" t="n"/>
      <c r="E13" s="85" t="inlineStr">
        <is>
          <t>수량</t>
        </is>
      </c>
      <c r="F13" s="85" t="inlineStr">
        <is>
          <t>소비자단가</t>
        </is>
      </c>
      <c r="G13" s="85" t="inlineStr">
        <is>
          <t>공급 단가</t>
        </is>
      </c>
      <c r="H13" s="85" t="inlineStr">
        <is>
          <t>공급 금액</t>
        </is>
      </c>
      <c r="I13" s="85" t="inlineStr">
        <is>
          <t>비 고</t>
        </is>
      </c>
    </row>
    <row r="14" ht="64.5" customFormat="1" customHeight="1" s="7">
      <c r="A14" s="55" t="inlineStr">
        <is>
          <t>개발비</t>
        </is>
      </c>
      <c r="B14" s="44" t="inlineStr">
        <is>
          <t>결재</t>
        </is>
      </c>
      <c r="C14" s="86" t="inlineStr">
        <is>
          <t>- 그룹웨어 SSL 인증서 적용
  : 인증서 설치/적용 및 HTTPS 전환
- 서버 설정 점검 및 보안(프로토콜/암호군) 기본 튜닝
- 적용 후 기능/호환성 테스트 및 결과 확인
- 운영 반영(배포) 및 안정화 지원</t>
        </is>
      </c>
      <c r="D14" s="87" t="n"/>
      <c r="E14" s="88" t="inlineStr">
        <is>
          <t>10MD</t>
        </is>
      </c>
      <c r="F14" s="89" t="n">
        <v>604342.83</v>
      </c>
      <c r="G14" s="89" t="n">
        <v>500000</v>
      </c>
      <c r="H14" s="90" t="n">
        <v>5000000</v>
      </c>
      <c r="I14" s="47" t="n"/>
    </row>
    <row r="15" ht="20.1" customFormat="1" customHeight="1" s="7">
      <c r="A15" s="91" t="inlineStr">
        <is>
          <t>견적 금액  합계</t>
        </is>
      </c>
      <c r="B15" s="92" t="n"/>
      <c r="C15" s="92" t="n"/>
      <c r="D15" s="93" t="n"/>
      <c r="E15" s="94" t="n"/>
      <c r="F15" s="95" t="n"/>
      <c r="G15" s="95" t="n"/>
      <c r="H15" s="95">
        <f>SUM(H14)</f>
        <v/>
      </c>
      <c r="I15" s="94" t="n"/>
      <c r="J15" s="96" t="n"/>
    </row>
    <row r="16" ht="17.1" customFormat="1" customHeight="1" s="5">
      <c r="A16" s="49" t="n"/>
      <c r="B16" s="97" t="inlineStr">
        <is>
          <t>※ SW노임단가는 2014년 소프트웨어 기술자 노임대가 기준입니다. (제경비 110%, 기술료 30% 산정)</t>
        </is>
      </c>
      <c r="C16" s="98" t="n"/>
      <c r="D16" s="98" t="n"/>
      <c r="E16" s="98" t="n"/>
      <c r="F16" s="98" t="n"/>
      <c r="G16" s="98" t="n"/>
      <c r="H16" s="98" t="n"/>
      <c r="I16" s="84" t="n"/>
    </row>
    <row r="17" ht="17.1" customFormat="1" customHeight="1" s="5">
      <c r="A17" s="50" t="inlineStr">
        <is>
          <t>참조 사항</t>
        </is>
      </c>
      <c r="B17" s="99" t="inlineStr">
        <is>
          <t>※ 적용등급 : 중급</t>
        </is>
      </c>
      <c r="I17" s="61" t="n"/>
    </row>
    <row r="18" ht="17.1" customFormat="1" customHeight="1" s="5">
      <c r="A18" s="50" t="n"/>
      <c r="B18" s="99" t="inlineStr">
        <is>
          <t>※ 공급단가 : 작업 수행인력 외 기술지원부문(프로젝트지원팀,기술연구소 등) 반영 단가 임</t>
        </is>
      </c>
      <c r="I18" s="61" t="n"/>
    </row>
    <row r="19" ht="17.1" customFormat="1" customHeight="1" s="5">
      <c r="A19" s="50" t="n"/>
      <c r="B19" s="100" t="inlineStr">
        <is>
          <t>※ 투입인력 작업수행 조건 : 비상주 (상주 요구 시 재견적 필요)</t>
        </is>
      </c>
      <c r="I19" s="61" t="n"/>
    </row>
    <row r="20" ht="17.1" customFormat="1" customHeight="1" s="5">
      <c r="A20" s="50" t="n"/>
      <c r="B20" s="99" t="inlineStr">
        <is>
          <t>※ 공수 산정 시 주요 가정 및 기타 참고사항</t>
        </is>
      </c>
      <c r="I20" s="61" t="n"/>
    </row>
    <row r="21" ht="17.1" customFormat="1" customHeight="1" s="5">
      <c r="A21" s="50" t="n"/>
      <c r="B21" s="100" t="inlineStr">
        <is>
          <t xml:space="preserve"> 1) 공수의 기준은 해당 시스템의 구축을 위하여 소요되는 모든 활동을 포함됩니다.</t>
        </is>
      </c>
      <c r="I21" s="61" t="n"/>
    </row>
    <row r="22" ht="17.1" customFormat="1" customHeight="1" s="5">
      <c r="A22" s="50" t="n"/>
      <c r="B22" s="100" t="inlineStr">
        <is>
          <t xml:space="preserve">    - 그 예로 협의를 위한 방문지원 시간, 유선상의 연락 및 확인시간 등 일련의 모든 활동</t>
        </is>
      </c>
      <c r="I22" s="61" t="n"/>
    </row>
    <row r="23" ht="17.1" customFormat="1" customHeight="1" s="5">
      <c r="A23" s="50" t="n"/>
      <c r="B23" s="70" t="inlineStr">
        <is>
          <t xml:space="preserve">    - 단, 산출물 작성 위한 공수는 별도 </t>
        </is>
      </c>
      <c r="C23" s="71" t="n"/>
      <c r="D23" s="71" t="n"/>
      <c r="E23" s="71" t="n"/>
      <c r="F23" s="71" t="n"/>
      <c r="G23" s="71" t="n"/>
      <c r="H23" s="71" t="n"/>
      <c r="I23" s="72" t="n"/>
    </row>
    <row r="24" ht="17.1" customFormat="1" customHeight="1" s="5">
      <c r="A24" s="50" t="n"/>
      <c r="B24" s="99" t="inlineStr">
        <is>
          <t xml:space="preserve"> 2) 공수산정 기준은 다음과 같습니다. (실제 투입 공수는 변경될 수 있음)</t>
        </is>
      </c>
      <c r="I24" s="61" t="n"/>
    </row>
    <row r="25" ht="17.1" customFormat="1" customHeight="1" s="5">
      <c r="A25" s="50" t="n"/>
      <c r="B25" s="99" t="inlineStr">
        <is>
          <t xml:space="preserve">    - 8MH = 1MD,  20MD = 1MM</t>
        </is>
      </c>
      <c r="I25" s="61" t="n"/>
    </row>
    <row r="26" ht="17.1" customFormat="1" customHeight="1" s="5">
      <c r="A26" s="50" t="n"/>
      <c r="B26" s="99" t="inlineStr">
        <is>
          <t xml:space="preserve"> 3) 견적 유효기간 내에 개발진행 확정시 세부 개발일정에 대한 협의가 이루어집니다.</t>
        </is>
      </c>
      <c r="I26" s="61" t="n"/>
    </row>
    <row r="27" ht="17.1" customFormat="1" customHeight="1" s="5">
      <c r="A27" s="50" t="n"/>
      <c r="B27" s="99" t="inlineStr">
        <is>
          <t xml:space="preserve"> 4) 개발 소요기간은 산정된 작업공수와 동일하지 않습니다. (별도 협의 필요)</t>
        </is>
      </c>
      <c r="I27" s="61" t="n"/>
    </row>
    <row r="28" ht="17.1" customFormat="1" customHeight="1" s="5">
      <c r="A28" s="54" t="n"/>
      <c r="B28" s="101" t="n"/>
      <c r="C28" s="102" t="n"/>
      <c r="D28" s="102" t="n"/>
      <c r="E28" s="102" t="n"/>
      <c r="F28" s="102" t="n"/>
      <c r="G28" s="102" t="n"/>
      <c r="H28" s="102" t="n"/>
      <c r="I28" s="103" t="n"/>
    </row>
    <row r="29" ht="18.75" customFormat="1" customHeight="1" s="34">
      <c r="A29" s="33" t="inlineStr">
        <is>
          <t>영업 문의</t>
        </is>
      </c>
      <c r="B29" s="104" t="inlineStr">
        <is>
          <t xml:space="preserve"> 기술지원팀  김형준 이사  (kimhj@bizwell.net)  /  070-4616-5049  /  010-6565-9047   </t>
        </is>
      </c>
      <c r="C29" s="105" t="n"/>
      <c r="D29" s="105" t="n"/>
      <c r="E29" s="105" t="n"/>
      <c r="F29" s="105" t="n"/>
      <c r="G29" s="105" t="n"/>
      <c r="H29" s="105" t="n"/>
      <c r="I29" s="106" t="n"/>
    </row>
  </sheetData>
  <mergeCells count="17">
    <mergeCell ref="B18:I18"/>
    <mergeCell ref="B21:I21"/>
    <mergeCell ref="A2:I2"/>
    <mergeCell ref="B29:I29"/>
    <mergeCell ref="B26:I26"/>
    <mergeCell ref="B25:I25"/>
    <mergeCell ref="B24:I24"/>
    <mergeCell ref="B16:I16"/>
    <mergeCell ref="B20:I20"/>
    <mergeCell ref="B28:I28"/>
    <mergeCell ref="A15:D15"/>
    <mergeCell ref="C14:D14"/>
    <mergeCell ref="B19:I19"/>
    <mergeCell ref="B22:I22"/>
    <mergeCell ref="C13:D13"/>
    <mergeCell ref="B27:I27"/>
    <mergeCell ref="B17:I17"/>
  </mergeCells>
  <dataValidations count="1">
    <dataValidation sqref="B9:H10" showDropDown="0" showInputMessage="1" showErrorMessage="1" allowBlank="1" promptTitle="견적금액 표시" prompt="공급금액 합계(VAT별도)를 견적금액(VAT별도) 한글로 자동변환 표시"/>
  </dataValidations>
  <pageMargins left="0.3149606299212598" right="0.2362204724409449" top="0.4724409448818898" bottom="0.4330708661417323" header="0.4330708661417323" footer="0.3543307086614174"/>
  <pageSetup orientation="portrait" paperSize="9" scale="89" horizontalDpi="4294967294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</dc:creator>
  <dcterms:created xmlns:dcterms="http://purl.org/dc/terms/" xmlns:xsi="http://www.w3.org/2001/XMLSchema-instance" xsi:type="dcterms:W3CDTF">2001-05-22T00:47:40Z</dcterms:created>
  <dcterms:modified xmlns:dcterms="http://purl.org/dc/terms/" xmlns:xsi="http://www.w3.org/2001/XMLSchema-instance" xsi:type="dcterms:W3CDTF">2026-01-16T08:03:57Z</dcterms:modified>
  <cp:lastModifiedBy>Miley-WORK11</cp:lastModifiedBy>
  <cp:lastPrinted>2013-03-05T01:32:55Z</cp:lastPrinted>
</cp:coreProperties>
</file>