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zwell\Desktop\고객사 견적서\ITM반도체\"/>
    </mc:Choice>
  </mc:AlternateContent>
  <bookViews>
    <workbookView xWindow="0" yWindow="0" windowWidth="23040" windowHeight="9180"/>
  </bookViews>
  <sheets>
    <sheet name="견적서" sheetId="2" r:id="rId1"/>
  </sheets>
  <definedNames>
    <definedName name="_xlnm.Print_Area" localSheetId="0">견적서!$A$1:$I$21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2" l="1"/>
  <c r="E17" i="2" l="1"/>
  <c r="E18" i="2" s="1"/>
  <c r="H15" i="2"/>
  <c r="H14" i="2"/>
  <c r="H17" i="2" l="1"/>
  <c r="H18" i="2" s="1"/>
  <c r="B10" i="2" s="1"/>
</calcChain>
</file>

<file path=xl/sharedStrings.xml><?xml version="1.0" encoding="utf-8"?>
<sst xmlns="http://schemas.openxmlformats.org/spreadsheetml/2006/main" count="35" uniqueCount="35">
  <si>
    <t>항 목</t>
    <phoneticPr fontId="6" type="noConversion"/>
  </si>
  <si>
    <t>내   용</t>
    <phoneticPr fontId="6" type="noConversion"/>
  </si>
  <si>
    <t>공급 단가</t>
    <phoneticPr fontId="6" type="noConversion"/>
  </si>
  <si>
    <t>공급 금액</t>
    <phoneticPr fontId="6" type="noConversion"/>
  </si>
  <si>
    <t xml:space="preserve"> 주식회사  비 즈 웰</t>
    <phoneticPr fontId="6" type="noConversion"/>
  </si>
  <si>
    <t>견적 번호</t>
    <phoneticPr fontId="6" type="noConversion"/>
  </si>
  <si>
    <t>제  출  처</t>
    <phoneticPr fontId="6" type="noConversion"/>
  </si>
  <si>
    <t>견적 일자</t>
    <phoneticPr fontId="6" type="noConversion"/>
  </si>
  <si>
    <t>유효 기간</t>
    <phoneticPr fontId="6" type="noConversion"/>
  </si>
  <si>
    <t>(단위:원, 부가세별도)</t>
    <phoneticPr fontId="6" type="noConversion"/>
  </si>
  <si>
    <t>견  적  명</t>
    <phoneticPr fontId="6" type="noConversion"/>
  </si>
  <si>
    <t>참  조</t>
    <phoneticPr fontId="6" type="noConversion"/>
  </si>
  <si>
    <t>영업 문의</t>
    <phoneticPr fontId="6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</si>
  <si>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6" type="noConversion"/>
  </si>
  <si>
    <t>견   적   서</t>
    <phoneticPr fontId="8" type="noConversion"/>
  </si>
  <si>
    <t xml:space="preserve"> 아래와 같이 견적합니다.</t>
    <phoneticPr fontId="6" type="noConversion"/>
  </si>
  <si>
    <t xml:space="preserve"> ☎ 031-425-5820   Fax) 031-450-5821</t>
    <phoneticPr fontId="6" type="noConversion"/>
  </si>
  <si>
    <t>SW노임단가</t>
    <phoneticPr fontId="6" type="noConversion"/>
  </si>
  <si>
    <t xml:space="preserve"> 경기 안양 동안구 학의로 282 금강펜테리움IT타워 B-1915</t>
    <phoneticPr fontId="6" type="noConversion"/>
  </si>
  <si>
    <t>견적 금액</t>
    <phoneticPr fontId="6" type="noConversion"/>
  </si>
  <si>
    <t xml:space="preserve"> 견적일로부터 2주일 이내</t>
    <phoneticPr fontId="6" type="noConversion"/>
  </si>
  <si>
    <t>비  고</t>
    <phoneticPr fontId="6" type="noConversion"/>
  </si>
  <si>
    <t>견적 금액</t>
    <phoneticPr fontId="6" type="noConversion"/>
  </si>
  <si>
    <t>M/D</t>
    <phoneticPr fontId="6" type="noConversion"/>
  </si>
  <si>
    <t>개발비</t>
    <phoneticPr fontId="6" type="noConversion"/>
  </si>
  <si>
    <t xml:space="preserve"> ITM반도체 귀중</t>
    <phoneticPr fontId="6" type="noConversion"/>
  </si>
  <si>
    <t>합  계</t>
    <phoneticPr fontId="6" type="noConversion"/>
  </si>
  <si>
    <r>
      <rPr>
        <b/>
        <sz val="10"/>
        <rFont val="맑은 고딕"/>
        <family val="3"/>
        <charset val="129"/>
        <scheme val="minor"/>
      </rPr>
      <t>OTP화면 개발</t>
    </r>
    <r>
      <rPr>
        <sz val="10"/>
        <rFont val="맑은 고딕"/>
        <family val="3"/>
        <charset val="129"/>
        <scheme val="minor"/>
      </rPr>
      <t xml:space="preserve">
- 그룹웨어에서 아이디 로그인 입력후 로그인시 OTP 입력 DIV 개발
1) OTP 등록 및 인증 화면 개발 (웹, 모바일)</t>
    </r>
    <phoneticPr fontId="6" type="noConversion"/>
  </si>
  <si>
    <t xml:space="preserve">※ SW노임단가는 2014년 소프트웨어 기술자 노임대가 기준입니다. (제경비 110%, 기술료 30% 산정)
※ 적용등급 : 중급
※ 공급단가 : 작업 수행인력 외 기술지원부문(프로젝트지원팀,기술연구소 등) 반영 단가 임
※ 투입인력 작업수행 조건 : 비상주 (상주 요구 시 재견적 필요)
※ 공수 산정 시 주요 가정 및 기타 참고사항
 1) 공수의 기준은 해당 시스템의 구축을 위하여 소요되는 모든 활동을 포함됩니다.
    - 그 예로 협의를 위한 방문지원 시간, 유선상의 연락 및 확인시간 등 일련의 모든 활동
    - 단, 산출물 작성 위한 공수는 별도 
 2) 공수산정 기준은 다음과 같습니다. (실제 투입 공수는 변경될 수 있음)
    - 8MH = 1MD,  20MD = 1MM
 3) 견적 유효기간 내에 개발진행 확정시 세부 개발일정에 대한 협의가 이루어집니다.
 4) 개발 소요기간은 산정된 작업공수와 동일하지 않습니다. (별도 협의 필요)
</t>
    <phoneticPr fontId="6" type="noConversion"/>
  </si>
  <si>
    <t xml:space="preserve"> 계약 처리 : 고객영업팀 김선태 부장 (kst@bizwell.net) / 070-4616-5017 / 010-3470-1292 
 계산서 발행 : 고객영업팀 김형준 이사 (kimhj@bizwell.net) / 070-4616-5049 / 010-6565-9047</t>
    <phoneticPr fontId="6" type="noConversion"/>
  </si>
  <si>
    <r>
      <rPr>
        <b/>
        <sz val="10"/>
        <rFont val="맑은 고딕"/>
        <family val="3"/>
        <charset val="129"/>
        <scheme val="minor"/>
      </rPr>
      <t>OTP예외자 설정 개발</t>
    </r>
    <r>
      <rPr>
        <sz val="10"/>
        <rFont val="맑은 고딕"/>
        <family val="3"/>
        <charset val="129"/>
        <scheme val="minor"/>
      </rPr>
      <t xml:space="preserve">
- 관리자페이지에서 롤등록을 이용하여 롤에 등록된 사용자는 OTP인증 예외처리</t>
    </r>
    <phoneticPr fontId="6" type="noConversion"/>
  </si>
  <si>
    <r>
      <rPr>
        <b/>
        <sz val="10"/>
        <rFont val="맑은 고딕"/>
        <family val="3"/>
        <charset val="129"/>
        <scheme val="minor"/>
      </rPr>
      <t xml:space="preserve">OTP관련 내부 로직 개발
</t>
    </r>
    <r>
      <rPr>
        <sz val="10"/>
        <rFont val="맑은 고딕"/>
        <family val="3"/>
        <charset val="129"/>
        <scheme val="minor"/>
      </rPr>
      <t>- OTP등록 데이터 저장 로직 개발
- 전달받은 OTP코드를 이용하여 로그인처리 로직 개발</t>
    </r>
    <phoneticPr fontId="6" type="noConversion"/>
  </si>
  <si>
    <t>ITM반도체 그룹웨어 로그인 OTP인증 추가 개발</t>
    <phoneticPr fontId="6" type="noConversion"/>
  </si>
  <si>
    <t xml:space="preserve"> 2025. 04. 10</t>
    <phoneticPr fontId="6" type="noConversion"/>
  </si>
  <si>
    <t xml:space="preserve"> 2025-ITM반도체-D01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</si>
</sst>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_);[Red]\(0.0\)"/>
  </numFmts>
  <fonts count="28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b/>
      <sz val="9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11">
    <xf numFmtId="0" fontId="0" fillId="0" borderId="0"/>
    <xf numFmtId="41" fontId="5" fillId="0" borderId="0" applyFont="0" applyFill="0" applyBorder="0" applyAlignment="0" applyProtection="0"/>
    <xf numFmtId="0" fontId="7" fillId="0" borderId="0"/>
    <xf numFmtId="0" fontId="2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3" fillId="0" borderId="0">
      <alignment vertical="center"/>
    </xf>
    <xf numFmtId="0" fontId="24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76">
    <xf numFmtId="0" fontId="0" fillId="0" borderId="0" xfId="0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1" fillId="0" borderId="0" xfId="0" applyFont="1" applyAlignment="1">
      <alignment vertical="center"/>
    </xf>
    <xf numFmtId="0" fontId="14" fillId="0" borderId="0" xfId="2" applyFont="1" applyAlignment="1" applyProtection="1">
      <alignment horizontal="centerContinuous" vertical="center"/>
      <protection locked="0"/>
    </xf>
    <xf numFmtId="0" fontId="14" fillId="0" borderId="0" xfId="2" applyFont="1" applyAlignment="1">
      <alignment horizontal="centerContinuous" vertical="center"/>
    </xf>
    <xf numFmtId="41" fontId="14" fillId="0" borderId="0" xfId="2" applyNumberFormat="1" applyFont="1" applyAlignment="1">
      <alignment horizontal="centerContinuous" vertical="center"/>
    </xf>
    <xf numFmtId="41" fontId="15" fillId="0" borderId="0" xfId="2" applyNumberFormat="1" applyFont="1" applyAlignment="1">
      <alignment horizontal="center" vertical="center"/>
    </xf>
    <xf numFmtId="49" fontId="15" fillId="0" borderId="0" xfId="2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2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7" fillId="2" borderId="1" xfId="1" applyNumberFormat="1" applyFont="1" applyFill="1" applyBorder="1" applyAlignment="1" applyProtection="1">
      <alignment vertical="center"/>
    </xf>
    <xf numFmtId="0" fontId="18" fillId="2" borderId="2" xfId="1" applyNumberFormat="1" applyFont="1" applyFill="1" applyBorder="1" applyAlignment="1" applyProtection="1">
      <alignment vertical="center"/>
    </xf>
    <xf numFmtId="49" fontId="15" fillId="0" borderId="3" xfId="2" applyNumberFormat="1" applyFont="1" applyBorder="1" applyAlignment="1">
      <alignment vertical="center"/>
    </xf>
    <xf numFmtId="41" fontId="15" fillId="0" borderId="0" xfId="2" applyNumberFormat="1" applyFont="1" applyAlignment="1">
      <alignment horizontal="center"/>
    </xf>
    <xf numFmtId="0" fontId="19" fillId="0" borderId="0" xfId="0" applyFont="1" applyAlignment="1">
      <alignment horizontal="right" vertical="center"/>
    </xf>
    <xf numFmtId="0" fontId="15" fillId="4" borderId="1" xfId="2" applyFont="1" applyFill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6" fillId="0" borderId="1" xfId="2" applyFont="1" applyBorder="1" applyAlignment="1">
      <alignment horizontal="left" vertical="center"/>
    </xf>
    <xf numFmtId="0" fontId="15" fillId="4" borderId="6" xfId="2" applyFont="1" applyFill="1" applyBorder="1" applyAlignment="1">
      <alignment horizontal="center" vertical="center"/>
    </xf>
    <xf numFmtId="0" fontId="15" fillId="4" borderId="4" xfId="2" applyFont="1" applyFill="1" applyBorder="1" applyAlignment="1">
      <alignment horizontal="center" vertical="center"/>
    </xf>
    <xf numFmtId="0" fontId="19" fillId="4" borderId="5" xfId="2" applyFont="1" applyFill="1" applyBorder="1" applyAlignment="1">
      <alignment horizontal="center" vertical="center"/>
    </xf>
    <xf numFmtId="41" fontId="19" fillId="4" borderId="5" xfId="1" applyFont="1" applyFill="1" applyBorder="1" applyAlignment="1">
      <alignment horizontal="center" vertical="center"/>
    </xf>
    <xf numFmtId="0" fontId="15" fillId="0" borderId="7" xfId="2" applyFont="1" applyBorder="1" applyAlignment="1">
      <alignment horizontal="center" vertical="center"/>
    </xf>
    <xf numFmtId="0" fontId="16" fillId="0" borderId="0" xfId="2" applyFont="1" applyAlignment="1">
      <alignment vertical="center"/>
    </xf>
    <xf numFmtId="0" fontId="16" fillId="0" borderId="6" xfId="0" applyFont="1" applyBorder="1" applyAlignment="1">
      <alignment horizontal="center" vertical="center"/>
    </xf>
    <xf numFmtId="49" fontId="16" fillId="0" borderId="6" xfId="2" applyNumberFormat="1" applyFont="1" applyBorder="1" applyAlignment="1">
      <alignment vertical="center"/>
    </xf>
    <xf numFmtId="41" fontId="15" fillId="0" borderId="12" xfId="2" applyNumberFormat="1" applyFont="1" applyBorder="1" applyAlignment="1">
      <alignment horizontal="center" vertical="center"/>
    </xf>
    <xf numFmtId="49" fontId="16" fillId="0" borderId="7" xfId="2" applyNumberFormat="1" applyFont="1" applyBorder="1" applyAlignment="1">
      <alignment vertical="center"/>
    </xf>
    <xf numFmtId="49" fontId="15" fillId="0" borderId="9" xfId="2" applyNumberFormat="1" applyFont="1" applyBorder="1" applyAlignment="1">
      <alignment vertical="center"/>
    </xf>
    <xf numFmtId="49" fontId="16" fillId="0" borderId="8" xfId="2" applyNumberFormat="1" applyFont="1" applyBorder="1" applyAlignment="1">
      <alignment vertical="center"/>
    </xf>
    <xf numFmtId="41" fontId="25" fillId="5" borderId="4" xfId="2" applyNumberFormat="1" applyFont="1" applyFill="1" applyBorder="1" applyAlignment="1">
      <alignment horizontal="center" vertical="center"/>
    </xf>
    <xf numFmtId="9" fontId="25" fillId="5" borderId="4" xfId="2" applyNumberFormat="1" applyFont="1" applyFill="1" applyBorder="1" applyAlignment="1">
      <alignment horizontal="center" vertical="center"/>
    </xf>
    <xf numFmtId="41" fontId="19" fillId="0" borderId="4" xfId="1" applyFont="1" applyFill="1" applyBorder="1" applyAlignment="1">
      <alignment horizontal="right" vertical="center"/>
    </xf>
    <xf numFmtId="41" fontId="19" fillId="0" borderId="5" xfId="1" applyFont="1" applyFill="1" applyBorder="1" applyAlignment="1">
      <alignment horizontal="center" vertical="center"/>
    </xf>
    <xf numFmtId="176" fontId="19" fillId="0" borderId="4" xfId="1" applyNumberFormat="1" applyFont="1" applyFill="1" applyBorder="1" applyAlignment="1">
      <alignment horizontal="center" vertical="center"/>
    </xf>
    <xf numFmtId="176" fontId="25" fillId="5" borderId="4" xfId="1" applyNumberFormat="1" applyFont="1" applyFill="1" applyBorder="1" applyAlignment="1">
      <alignment horizontal="center" vertical="center"/>
    </xf>
    <xf numFmtId="9" fontId="26" fillId="0" borderId="5" xfId="2" quotePrefix="1" applyNumberFormat="1" applyFont="1" applyBorder="1" applyAlignment="1">
      <alignment horizontal="left" vertical="center" wrapText="1"/>
    </xf>
    <xf numFmtId="9" fontId="27" fillId="0" borderId="5" xfId="2" quotePrefix="1" applyNumberFormat="1" applyFont="1" applyBorder="1" applyAlignment="1">
      <alignment horizontal="left" vertical="center" wrapText="1"/>
    </xf>
    <xf numFmtId="0" fontId="16" fillId="0" borderId="13" xfId="0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176" fontId="25" fillId="5" borderId="15" xfId="1" applyNumberFormat="1" applyFont="1" applyFill="1" applyBorder="1" applyAlignment="1">
      <alignment horizontal="center" vertical="center"/>
    </xf>
    <xf numFmtId="41" fontId="25" fillId="5" borderId="15" xfId="2" applyNumberFormat="1" applyFont="1" applyFill="1" applyBorder="1" applyAlignment="1">
      <alignment horizontal="center" vertical="center"/>
    </xf>
    <xf numFmtId="9" fontId="25" fillId="5" borderId="15" xfId="2" applyNumberFormat="1" applyFont="1" applyFill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2" fillId="0" borderId="0" xfId="0" applyFont="1" applyBorder="1"/>
    <xf numFmtId="0" fontId="9" fillId="0" borderId="0" xfId="0" applyFont="1" applyBorder="1"/>
    <xf numFmtId="0" fontId="16" fillId="0" borderId="1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20" fillId="3" borderId="0" xfId="2" applyFont="1" applyFill="1" applyAlignment="1" applyProtection="1">
      <alignment horizontal="center" vertical="center"/>
      <protection locked="0"/>
    </xf>
    <xf numFmtId="0" fontId="19" fillId="4" borderId="1" xfId="2" applyFont="1" applyFill="1" applyBorder="1" applyAlignment="1">
      <alignment horizontal="center" vertical="center"/>
    </xf>
    <xf numFmtId="0" fontId="19" fillId="4" borderId="2" xfId="2" applyFont="1" applyFill="1" applyBorder="1" applyAlignment="1">
      <alignment horizontal="center" vertical="center"/>
    </xf>
    <xf numFmtId="0" fontId="19" fillId="4" borderId="3" xfId="2" applyFont="1" applyFill="1" applyBorder="1" applyAlignment="1">
      <alignment horizontal="center" vertical="center"/>
    </xf>
    <xf numFmtId="0" fontId="25" fillId="5" borderId="8" xfId="0" applyFont="1" applyFill="1" applyBorder="1" applyAlignment="1">
      <alignment horizontal="center" vertical="center"/>
    </xf>
    <xf numFmtId="0" fontId="25" fillId="5" borderId="9" xfId="0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0" fontId="25" fillId="5" borderId="3" xfId="0" applyFont="1" applyFill="1" applyBorder="1" applyAlignment="1">
      <alignment horizontal="center" vertical="center"/>
    </xf>
    <xf numFmtId="0" fontId="16" fillId="0" borderId="2" xfId="0" quotePrefix="1" applyFont="1" applyBorder="1" applyAlignment="1">
      <alignment horizontal="left" vertical="center" wrapText="1"/>
    </xf>
    <xf numFmtId="0" fontId="16" fillId="0" borderId="3" xfId="0" quotePrefix="1" applyFont="1" applyBorder="1" applyAlignment="1">
      <alignment horizontal="left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</cellXfs>
  <cellStyles count="11">
    <cellStyle name="쉼표 [0]" xfId="1" builtinId="6"/>
    <cellStyle name="스타일 1" xfId="7"/>
    <cellStyle name="표준" xfId="0" builtinId="0"/>
    <cellStyle name="표준 2" xfId="3"/>
    <cellStyle name="표준 2 2" xfId="6"/>
    <cellStyle name="표준 3" xfId="4"/>
    <cellStyle name="표준 4" xfId="5"/>
    <cellStyle name="표준 5" xfId="8"/>
    <cellStyle name="표준 6" xfId="9"/>
    <cellStyle name="표준 7" xfId="10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1"/>
  <sheetViews>
    <sheetView showGridLines="0" tabSelected="1" topLeftCell="A13" zoomScaleNormal="100" workbookViewId="0">
      <selection activeCell="K16" sqref="K16"/>
    </sheetView>
  </sheetViews>
  <sheetFormatPr defaultColWidth="8.8984375" defaultRowHeight="14.4" x14ac:dyDescent="0.25"/>
  <cols>
    <col min="1" max="1" width="11.19921875" style="1" customWidth="1"/>
    <col min="2" max="2" width="10.59765625" style="1" customWidth="1"/>
    <col min="3" max="3" width="20.19921875" style="1" customWidth="1"/>
    <col min="4" max="4" width="13.19921875" style="1" customWidth="1"/>
    <col min="5" max="5" width="8.09765625" style="1" customWidth="1"/>
    <col min="6" max="6" width="9.796875" style="1" bestFit="1" customWidth="1"/>
    <col min="7" max="7" width="9.296875" style="1" bestFit="1" customWidth="1"/>
    <col min="8" max="8" width="11.796875" style="1" customWidth="1"/>
    <col min="9" max="9" width="31.69921875" style="1" customWidth="1"/>
    <col min="10" max="16384" width="8.8984375" style="1"/>
  </cols>
  <sheetData>
    <row r="1" spans="1:21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21" s="4" customFormat="1" ht="29.25" customHeight="1" x14ac:dyDescent="0.25">
      <c r="A2" s="62" t="s">
        <v>14</v>
      </c>
      <c r="B2" s="62"/>
      <c r="C2" s="62"/>
      <c r="D2" s="62"/>
      <c r="E2" s="62"/>
      <c r="F2" s="62"/>
      <c r="G2" s="62"/>
      <c r="H2" s="62"/>
      <c r="I2" s="62"/>
    </row>
    <row r="3" spans="1:21" s="4" customFormat="1" ht="16.5" customHeight="1" x14ac:dyDescent="0.25">
      <c r="A3" s="8"/>
      <c r="B3" s="9"/>
      <c r="C3" s="9"/>
      <c r="D3" s="9"/>
      <c r="E3" s="10"/>
      <c r="F3" s="10"/>
      <c r="G3" s="10"/>
      <c r="H3" s="10"/>
      <c r="I3" s="10"/>
    </row>
    <row r="4" spans="1:21" s="5" customFormat="1" ht="20.100000000000001" customHeight="1" x14ac:dyDescent="0.25">
      <c r="A4" s="21" t="s">
        <v>5</v>
      </c>
      <c r="B4" s="23" t="s">
        <v>34</v>
      </c>
      <c r="C4" s="22"/>
      <c r="D4" s="28"/>
      <c r="E4" s="31" t="s">
        <v>4</v>
      </c>
      <c r="F4" s="32"/>
      <c r="G4" s="32"/>
      <c r="H4" s="32"/>
      <c r="I4" s="44"/>
    </row>
    <row r="5" spans="1:21" s="5" customFormat="1" ht="20.100000000000001" customHeight="1" x14ac:dyDescent="0.25">
      <c r="A5" s="21" t="s">
        <v>6</v>
      </c>
      <c r="B5" s="23" t="s">
        <v>25</v>
      </c>
      <c r="C5" s="22"/>
      <c r="D5" s="28"/>
      <c r="E5" s="33" t="s">
        <v>13</v>
      </c>
      <c r="F5" s="12"/>
      <c r="G5" s="12"/>
      <c r="H5" s="12"/>
      <c r="I5" s="45"/>
    </row>
    <row r="6" spans="1:21" s="5" customFormat="1" ht="20.100000000000001" customHeight="1" x14ac:dyDescent="0.25">
      <c r="A6" s="21" t="s">
        <v>7</v>
      </c>
      <c r="B6" s="23" t="s">
        <v>33</v>
      </c>
      <c r="C6" s="22"/>
      <c r="D6" s="28"/>
      <c r="E6" s="33" t="s">
        <v>18</v>
      </c>
      <c r="F6" s="12"/>
      <c r="G6" s="12"/>
      <c r="H6" s="12"/>
      <c r="I6" s="45"/>
    </row>
    <row r="7" spans="1:21" s="5" customFormat="1" ht="20.100000000000001" customHeight="1" x14ac:dyDescent="0.25">
      <c r="A7" s="21" t="s">
        <v>8</v>
      </c>
      <c r="B7" s="23" t="s">
        <v>20</v>
      </c>
      <c r="C7" s="22"/>
      <c r="D7" s="28"/>
      <c r="E7" s="35" t="s">
        <v>16</v>
      </c>
      <c r="F7" s="34"/>
      <c r="G7" s="34"/>
      <c r="H7" s="34"/>
      <c r="I7" s="46"/>
    </row>
    <row r="8" spans="1:21" s="5" customFormat="1" ht="13.5" customHeight="1" x14ac:dyDescent="0.25">
      <c r="A8" s="13"/>
      <c r="B8" s="14"/>
      <c r="C8" s="15"/>
      <c r="D8" s="15"/>
      <c r="E8" s="13"/>
      <c r="F8" s="13"/>
      <c r="G8" s="13"/>
      <c r="H8" s="12"/>
      <c r="I8" s="12"/>
    </row>
    <row r="9" spans="1:21" s="5" customFormat="1" ht="19.5" customHeight="1" x14ac:dyDescent="0.25">
      <c r="A9" s="24" t="s">
        <v>10</v>
      </c>
      <c r="B9" s="16" t="s">
        <v>32</v>
      </c>
      <c r="C9" s="17"/>
      <c r="D9" s="17"/>
      <c r="E9" s="17"/>
      <c r="F9" s="17"/>
      <c r="G9" s="17"/>
      <c r="H9" s="17"/>
      <c r="I9" s="18"/>
    </row>
    <row r="10" spans="1:21" s="5" customFormat="1" ht="20.100000000000001" customHeight="1" x14ac:dyDescent="0.25">
      <c r="A10" s="25" t="s">
        <v>19</v>
      </c>
      <c r="B10" s="16" t="str">
        <f>TEXT(H18," 일금[DBNum4][$-412]G/표준원정") &amp; " (" &amp; DOLLAR(H18) &amp; " 부가세별도)"</f>
        <v xml:space="preserve"> 일금오백만원정 (₩5,000,000 부가세별도)</v>
      </c>
      <c r="C10" s="17"/>
      <c r="D10" s="17"/>
      <c r="E10" s="17"/>
      <c r="F10" s="17"/>
      <c r="G10" s="17"/>
      <c r="H10" s="17"/>
      <c r="I10" s="18"/>
    </row>
    <row r="11" spans="1:21" s="6" customFormat="1" ht="14.25" customHeight="1" x14ac:dyDescent="0.35">
      <c r="A11" s="29"/>
      <c r="B11" s="15"/>
      <c r="C11" s="15"/>
      <c r="D11" s="15"/>
      <c r="E11" s="11"/>
      <c r="F11" s="11"/>
      <c r="G11" s="11"/>
      <c r="H11" s="19"/>
      <c r="I11" s="20"/>
    </row>
    <row r="12" spans="1:21" s="6" customFormat="1" ht="20.25" customHeight="1" x14ac:dyDescent="0.35">
      <c r="A12" s="29" t="s">
        <v>15</v>
      </c>
      <c r="B12" s="15"/>
      <c r="C12" s="15"/>
      <c r="D12" s="15"/>
      <c r="E12" s="11"/>
      <c r="F12" s="11"/>
      <c r="G12" s="11"/>
      <c r="H12" s="19"/>
      <c r="I12" s="20" t="s">
        <v>9</v>
      </c>
    </row>
    <row r="13" spans="1:21" s="7" customFormat="1" ht="27.75" customHeight="1" x14ac:dyDescent="0.25">
      <c r="A13" s="26" t="s">
        <v>0</v>
      </c>
      <c r="B13" s="63" t="s">
        <v>1</v>
      </c>
      <c r="C13" s="64"/>
      <c r="D13" s="65"/>
      <c r="E13" s="27" t="s">
        <v>23</v>
      </c>
      <c r="F13" s="27" t="s">
        <v>17</v>
      </c>
      <c r="G13" s="27" t="s">
        <v>2</v>
      </c>
      <c r="H13" s="27" t="s">
        <v>3</v>
      </c>
      <c r="I13" s="27" t="s">
        <v>21</v>
      </c>
    </row>
    <row r="14" spans="1:21" s="7" customFormat="1" ht="120" customHeight="1" x14ac:dyDescent="0.25">
      <c r="A14" s="74" t="s">
        <v>24</v>
      </c>
      <c r="B14" s="57" t="s">
        <v>27</v>
      </c>
      <c r="C14" s="60"/>
      <c r="D14" s="61"/>
      <c r="E14" s="40">
        <v>3</v>
      </c>
      <c r="F14" s="39">
        <v>654512</v>
      </c>
      <c r="G14" s="39">
        <v>500000</v>
      </c>
      <c r="H14" s="38">
        <f t="shared" ref="H14:H15" si="0">SUM(E14:E14)*G14</f>
        <v>1500000</v>
      </c>
      <c r="I14" s="43"/>
    </row>
    <row r="15" spans="1:21" s="7" customFormat="1" ht="120" customHeight="1" x14ac:dyDescent="0.25">
      <c r="A15" s="75"/>
      <c r="B15" s="57" t="s">
        <v>31</v>
      </c>
      <c r="C15" s="72"/>
      <c r="D15" s="73"/>
      <c r="E15" s="40">
        <v>7</v>
      </c>
      <c r="F15" s="39">
        <v>654512</v>
      </c>
      <c r="G15" s="39">
        <v>500000</v>
      </c>
      <c r="H15" s="38">
        <f t="shared" si="0"/>
        <v>3500000</v>
      </c>
      <c r="I15" s="42"/>
    </row>
    <row r="16" spans="1:21" s="7" customFormat="1" ht="120" customHeight="1" x14ac:dyDescent="0.25">
      <c r="A16" s="75"/>
      <c r="B16" s="57" t="s">
        <v>30</v>
      </c>
      <c r="C16" s="60"/>
      <c r="D16" s="61"/>
      <c r="E16" s="40">
        <v>0</v>
      </c>
      <c r="F16" s="39">
        <v>654512</v>
      </c>
      <c r="G16" s="39">
        <v>500000</v>
      </c>
      <c r="H16" s="38">
        <f t="shared" ref="H16" si="1">SUM(E16:E16)*G16</f>
        <v>0</v>
      </c>
      <c r="I16" s="42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</row>
    <row r="17" spans="1:21" s="5" customFormat="1" ht="26.25" customHeight="1" x14ac:dyDescent="0.25">
      <c r="A17" s="66" t="s">
        <v>26</v>
      </c>
      <c r="B17" s="67"/>
      <c r="C17" s="67"/>
      <c r="D17" s="68"/>
      <c r="E17" s="48" t="str">
        <f>(SUM(E14:E16))&amp;"MD"</f>
        <v>10MD</v>
      </c>
      <c r="F17" s="49"/>
      <c r="G17" s="49"/>
      <c r="H17" s="49">
        <f>SUM(H14:H16)</f>
        <v>5000000</v>
      </c>
      <c r="I17" s="50"/>
      <c r="K17" s="52"/>
      <c r="L17" s="52"/>
      <c r="M17" s="53"/>
      <c r="N17" s="52"/>
      <c r="O17" s="52"/>
      <c r="P17" s="52"/>
      <c r="Q17" s="52"/>
      <c r="R17" s="52"/>
      <c r="S17" s="52"/>
      <c r="T17" s="52"/>
      <c r="U17" s="52"/>
    </row>
    <row r="18" spans="1:21" s="5" customFormat="1" ht="17.100000000000001" customHeight="1" x14ac:dyDescent="0.25">
      <c r="A18" s="69" t="s">
        <v>22</v>
      </c>
      <c r="B18" s="70"/>
      <c r="C18" s="70"/>
      <c r="D18" s="71"/>
      <c r="E18" s="41" t="str">
        <f>E17</f>
        <v>10MD</v>
      </c>
      <c r="F18" s="36"/>
      <c r="G18" s="36"/>
      <c r="H18" s="36">
        <f>H17</f>
        <v>5000000</v>
      </c>
      <c r="I18" s="37"/>
      <c r="K18" s="52"/>
      <c r="L18" s="52"/>
      <c r="M18" s="53"/>
      <c r="N18" s="52"/>
      <c r="O18" s="52"/>
      <c r="P18" s="52"/>
      <c r="Q18" s="52"/>
      <c r="R18" s="52"/>
      <c r="S18" s="52"/>
      <c r="T18" s="52"/>
      <c r="U18" s="52"/>
    </row>
    <row r="19" spans="1:21" s="5" customFormat="1" ht="17.100000000000001" customHeight="1" x14ac:dyDescent="0.35">
      <c r="A19" s="29"/>
      <c r="B19" s="15"/>
      <c r="C19" s="15"/>
      <c r="D19" s="15"/>
      <c r="E19" s="11"/>
      <c r="F19" s="11"/>
      <c r="G19" s="11"/>
      <c r="H19" s="19"/>
      <c r="I19" s="20"/>
      <c r="K19" s="52"/>
      <c r="L19" s="52"/>
      <c r="M19" s="53"/>
      <c r="N19" s="52"/>
      <c r="O19" s="52"/>
      <c r="P19" s="52"/>
      <c r="Q19" s="52"/>
      <c r="R19" s="52"/>
      <c r="S19" s="52"/>
      <c r="T19" s="52"/>
      <c r="U19" s="52"/>
    </row>
    <row r="20" spans="1:21" s="5" customFormat="1" ht="184.5" customHeight="1" x14ac:dyDescent="0.25">
      <c r="A20" s="30" t="s">
        <v>11</v>
      </c>
      <c r="B20" s="57" t="s">
        <v>28</v>
      </c>
      <c r="C20" s="60"/>
      <c r="D20" s="60"/>
      <c r="E20" s="60"/>
      <c r="F20" s="60"/>
      <c r="G20" s="60"/>
      <c r="H20" s="60"/>
      <c r="I20" s="61"/>
      <c r="K20" s="52"/>
      <c r="L20" s="52"/>
      <c r="M20" s="54"/>
      <c r="N20" s="52"/>
      <c r="O20" s="52"/>
      <c r="P20" s="52"/>
      <c r="Q20" s="52"/>
      <c r="R20" s="52"/>
      <c r="S20" s="52"/>
      <c r="T20" s="52"/>
      <c r="U20" s="52"/>
    </row>
    <row r="21" spans="1:21" s="4" customFormat="1" ht="41.4" customHeight="1" x14ac:dyDescent="0.25">
      <c r="A21" s="47" t="s">
        <v>12</v>
      </c>
      <c r="B21" s="57" t="s">
        <v>29</v>
      </c>
      <c r="C21" s="58"/>
      <c r="D21" s="58"/>
      <c r="E21" s="58"/>
      <c r="F21" s="58"/>
      <c r="G21" s="58"/>
      <c r="H21" s="58"/>
      <c r="I21" s="59"/>
      <c r="K21" s="55"/>
      <c r="L21" s="55"/>
      <c r="M21" s="53"/>
      <c r="N21" s="55"/>
      <c r="O21" s="55"/>
      <c r="P21" s="55"/>
      <c r="Q21" s="55"/>
      <c r="R21" s="55"/>
      <c r="S21" s="55"/>
      <c r="T21" s="55"/>
      <c r="U21" s="55"/>
    </row>
    <row r="22" spans="1:21" s="4" customFormat="1" ht="15.6" x14ac:dyDescent="0.25">
      <c r="A22"/>
      <c r="B22"/>
      <c r="C22"/>
      <c r="D22"/>
      <c r="E22"/>
      <c r="F22"/>
      <c r="G22"/>
      <c r="H22"/>
      <c r="I22"/>
      <c r="K22" s="55"/>
      <c r="L22" s="55"/>
      <c r="M22" s="54"/>
      <c r="N22" s="55"/>
      <c r="O22" s="55"/>
      <c r="P22" s="55"/>
      <c r="Q22" s="55"/>
      <c r="R22" s="55"/>
      <c r="S22" s="55"/>
      <c r="T22" s="55"/>
      <c r="U22" s="55"/>
    </row>
    <row r="23" spans="1:21" s="4" customFormat="1" ht="15.6" x14ac:dyDescent="0.25">
      <c r="K23" s="55"/>
      <c r="L23" s="55"/>
      <c r="M23" s="54"/>
      <c r="N23" s="55"/>
      <c r="O23" s="55"/>
      <c r="P23" s="55"/>
      <c r="Q23" s="55"/>
      <c r="R23" s="55"/>
      <c r="S23" s="55"/>
      <c r="T23" s="55"/>
      <c r="U23" s="55"/>
    </row>
    <row r="24" spans="1:21" s="4" customFormat="1" ht="15.6" x14ac:dyDescent="0.25">
      <c r="K24" s="55"/>
      <c r="L24" s="55"/>
      <c r="M24" s="54"/>
      <c r="N24" s="55"/>
      <c r="O24" s="55"/>
      <c r="P24" s="55"/>
      <c r="Q24" s="55"/>
      <c r="R24" s="55"/>
      <c r="S24" s="55"/>
      <c r="T24" s="55"/>
      <c r="U24" s="55"/>
    </row>
    <row r="25" spans="1:21" s="4" customFormat="1" ht="15.6" x14ac:dyDescent="0.25">
      <c r="K25" s="55"/>
      <c r="L25" s="55"/>
      <c r="M25" s="53"/>
      <c r="N25" s="55"/>
      <c r="O25" s="55"/>
      <c r="P25" s="55"/>
      <c r="Q25" s="55"/>
      <c r="R25" s="55"/>
      <c r="S25" s="55"/>
      <c r="T25" s="55"/>
      <c r="U25" s="55"/>
    </row>
    <row r="26" spans="1:21" ht="15.6" x14ac:dyDescent="0.25">
      <c r="A26" s="4"/>
      <c r="B26" s="4"/>
      <c r="C26" s="4"/>
      <c r="D26" s="4"/>
      <c r="E26" s="4"/>
      <c r="F26" s="4"/>
      <c r="G26" s="4"/>
      <c r="H26" s="4"/>
      <c r="I26" s="4"/>
      <c r="K26" s="56"/>
      <c r="L26" s="56"/>
      <c r="M26" s="53"/>
      <c r="N26" s="56"/>
      <c r="O26" s="56"/>
      <c r="P26" s="56"/>
      <c r="Q26" s="56"/>
      <c r="R26" s="56"/>
      <c r="S26" s="56"/>
      <c r="T26" s="56"/>
      <c r="U26" s="56"/>
    </row>
    <row r="27" spans="1:21" ht="15.6" x14ac:dyDescent="0.25">
      <c r="A27" s="4"/>
      <c r="B27" s="4"/>
      <c r="C27" s="4"/>
      <c r="D27" s="4"/>
      <c r="E27" s="4"/>
      <c r="F27" s="4"/>
      <c r="G27" s="4"/>
      <c r="H27" s="4"/>
      <c r="I27" s="4"/>
      <c r="K27" s="56"/>
      <c r="L27" s="56"/>
      <c r="M27" s="53"/>
      <c r="N27" s="56"/>
      <c r="O27" s="56"/>
      <c r="P27" s="56"/>
      <c r="Q27" s="56"/>
      <c r="R27" s="56"/>
      <c r="S27" s="56"/>
      <c r="T27" s="56"/>
      <c r="U27" s="56"/>
    </row>
    <row r="28" spans="1:21" ht="15.6" x14ac:dyDescent="0.25">
      <c r="A28" s="4"/>
      <c r="B28" s="4"/>
      <c r="C28" s="4"/>
      <c r="D28" s="4"/>
      <c r="E28" s="4"/>
      <c r="F28" s="4"/>
      <c r="G28" s="4"/>
      <c r="H28" s="4"/>
      <c r="I28" s="4"/>
      <c r="K28" s="56"/>
      <c r="L28" s="56"/>
      <c r="M28" s="53"/>
      <c r="N28" s="56"/>
      <c r="O28" s="56"/>
      <c r="P28" s="56"/>
      <c r="Q28" s="56"/>
      <c r="R28" s="56"/>
      <c r="S28" s="56"/>
      <c r="T28" s="56"/>
      <c r="U28" s="56"/>
    </row>
    <row r="29" spans="1:21" ht="15.6" x14ac:dyDescent="0.25">
      <c r="K29" s="56"/>
      <c r="L29" s="56"/>
      <c r="M29" s="53"/>
      <c r="N29" s="56"/>
      <c r="O29" s="56"/>
      <c r="P29" s="56"/>
      <c r="Q29" s="56"/>
      <c r="R29" s="56"/>
      <c r="S29" s="56"/>
      <c r="T29" s="56"/>
      <c r="U29" s="56"/>
    </row>
    <row r="30" spans="1:21" x14ac:dyDescent="0.25"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</row>
    <row r="31" spans="1:21" x14ac:dyDescent="0.25"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</row>
  </sheetData>
  <mergeCells count="10">
    <mergeCell ref="B21:I21"/>
    <mergeCell ref="B20:I20"/>
    <mergeCell ref="A2:I2"/>
    <mergeCell ref="B13:D13"/>
    <mergeCell ref="A17:D17"/>
    <mergeCell ref="B14:D14"/>
    <mergeCell ref="A18:D18"/>
    <mergeCell ref="B15:D15"/>
    <mergeCell ref="B16:D16"/>
    <mergeCell ref="A14:A16"/>
  </mergeCells>
  <phoneticPr fontId="6" type="noConversion"/>
  <dataValidations count="1">
    <dataValidation allowBlank="1" showInputMessage="1" showErrorMessage="1" promptTitle="견적금액 표시" prompt="공급금액 합계(VAT별도)를 견적금액(VAT별도) 한글로 자동변환 표시" sqref="B9:H10"/>
  </dataValidations>
  <pageMargins left="0.31496062992125984" right="0.23622047244094491" top="0.33" bottom="0.25" header="0.26" footer="0.17"/>
  <pageSetup paperSize="9" scale="68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bizwell</cp:lastModifiedBy>
  <cp:lastPrinted>2020-09-16T08:21:47Z</cp:lastPrinted>
  <dcterms:created xsi:type="dcterms:W3CDTF">2001-05-22T00:47:40Z</dcterms:created>
  <dcterms:modified xsi:type="dcterms:W3CDTF">2025-04-10T08:10:23Z</dcterms:modified>
</cp:coreProperties>
</file>