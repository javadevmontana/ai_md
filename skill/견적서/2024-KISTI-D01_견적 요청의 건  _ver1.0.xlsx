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박승균\기술지원팀\고객사\18. KISTI\견적서\"/>
    </mc:Choice>
  </mc:AlternateContent>
  <bookViews>
    <workbookView xWindow="0" yWindow="0" windowWidth="23040" windowHeight="915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E24" i="2" l="1"/>
  <c r="H14" i="2"/>
  <c r="H15" i="2"/>
  <c r="H16" i="2"/>
  <c r="H17" i="2"/>
  <c r="H18" i="2"/>
  <c r="H19" i="2"/>
  <c r="H24" i="2" s="1"/>
  <c r="H20" i="2"/>
  <c r="H21" i="2"/>
  <c r="H22" i="2"/>
  <c r="H23" i="2"/>
  <c r="H13" i="2" l="1"/>
  <c r="H25" i="2" l="1"/>
  <c r="B9" i="2" s="1"/>
  <c r="E25" i="2"/>
</calcChain>
</file>

<file path=xl/sharedStrings.xml><?xml version="1.0" encoding="utf-8"?>
<sst xmlns="http://schemas.openxmlformats.org/spreadsheetml/2006/main" count="57" uniqueCount="56">
  <si>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</si>
  <si>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</si>
  <si>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</si>
  <si>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</si>
  <si>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</si>
  <si>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</si>
  <si>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</si>
  <si>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</si>
  <si>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</si>
  <si>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</si>
  <si>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</si>
  <si>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</si>
  <si>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</si>
  <si>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</si>
  <si>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</si>
  <si>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</si>
  <si>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</si>
  <si>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</si>
  <si>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</si>
  <si>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</si>
  <si>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</si>
  <si>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</si>
  <si>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</si>
  <si>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</si>
  <si>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</si>
  <si>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</si>
  <si>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</si>
  <si>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</si>
  <si>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</si>
  <si>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</si>
  <si>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M/D</t>
    <phoneticPr fontId="6" type="noConversion"/>
  </si>
  <si>
    <t>참조 사항</t>
    <phoneticPr fontId="6" type="noConversion"/>
  </si>
  <si>
    <t>전제 조건
및
고려사항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</si>
  <si>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</si>
  <si>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</si>
  <si>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개발비</t>
    <phoneticPr fontId="6" type="noConversion"/>
  </si>
  <si>
    <t xml:space="preserve"> 2024-KISTI-D01</t>
    <phoneticPr fontId="6" type="noConversion"/>
  </si>
  <si>
    <t xml:space="preserve"> KISTI 귀중</t>
    <phoneticPr fontId="6" type="noConversion"/>
  </si>
  <si>
    <t xml:space="preserve"> 견적 요청 건</t>
    <phoneticPr fontId="6" type="noConversion"/>
  </si>
  <si>
    <t xml:space="preserve"> 4. news feed 검색 기능, 삭제 기능</t>
    <phoneticPr fontId="6" type="noConversion"/>
  </si>
  <si>
    <t xml:space="preserve"> 5. 기안문 결재 완료 시 첨부파일 pdf 변환 기능  </t>
    <phoneticPr fontId="6" type="noConversion"/>
  </si>
  <si>
    <t>(압축파일,zip 제외)</t>
    <phoneticPr fontId="6" type="noConversion"/>
  </si>
  <si>
    <t xml:space="preserve"> 8. 일정 초대하기/수락  , 초대이력 조회 가능</t>
    <phoneticPr fontId="6" type="noConversion"/>
  </si>
  <si>
    <t xml:space="preserve"> 9. 주간업무 조회화면에 구분컬럼
(자동채번 번호 추가)</t>
    <phoneticPr fontId="6" type="noConversion"/>
  </si>
  <si>
    <t xml:space="preserve"> 1. 기안문 문서유통 수신처 실시간 연동 기능
 - 커넥션 이슈(속도)로 트리를 그리지 않음.
 - 동일(유사) 수신처 명은 기관코드를 통해 구분
 - 검색 결과에 상위 부서 정보 포함하지 않음</t>
    <phoneticPr fontId="6" type="noConversion"/>
  </si>
  <si>
    <t xml:space="preserve"> 2. 통함검색 결과 공개 된 문서, 첨부 바로보기</t>
    <phoneticPr fontId="6" type="noConversion"/>
  </si>
  <si>
    <t xml:space="preserve"> 3. 메일 정렬 기능 수정</t>
    <phoneticPr fontId="6" type="noConversion"/>
  </si>
  <si>
    <t xml:space="preserve"> 6-1. 기안문 템플릿 기능
 : 전달받은 파일 다운로드 후 사용자가 편집</t>
    <phoneticPr fontId="6" type="noConversion"/>
  </si>
  <si>
    <t xml:space="preserve"> 7. 웹한글기안기 임베디드 (조회)</t>
    <phoneticPr fontId="6" type="noConversion"/>
  </si>
  <si>
    <t>10. 결재중 문서 mis 에서 결재현황 화면 표시</t>
    <phoneticPr fontId="6" type="noConversion"/>
  </si>
  <si>
    <t>- 상기 기재된 기능 외 변경 및 추가시 추가 공수가 발생함
 - 그룹웨어 (Web) 견적 기준이며 Mobile은 포함되지 않음.</t>
    <phoneticPr fontId="6" type="noConversion"/>
  </si>
  <si>
    <t>견   적   서</t>
    <phoneticPr fontId="8" type="noConversion"/>
  </si>
  <si>
    <t>-</t>
    <phoneticPr fontId="6" type="noConversion"/>
  </si>
  <si>
    <t xml:space="preserve"> 12M/D 추가</t>
    <phoneticPr fontId="6" type="noConversion"/>
  </si>
  <si>
    <t xml:space="preserve"> 6-2. (옵션)기안문 템플릿 기능
 : 전달 받은 템플릿 리스트 메뉴 개발</t>
    <phoneticPr fontId="6" type="noConversion"/>
  </si>
  <si>
    <t xml:space="preserve"> 2024. 01 24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</si>
</sst>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176" fontId="18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9" fontId="18" fillId="0" borderId="5" xfId="2" applyNumberFormat="1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5" fillId="5" borderId="8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26" fillId="0" borderId="0" xfId="0" applyFont="1" applyBorder="1"/>
    <xf numFmtId="0" fontId="26" fillId="0" borderId="11" xfId="0" applyFont="1" applyBorder="1"/>
    <xf numFmtId="0" fontId="25" fillId="5" borderId="1" xfId="0" applyFont="1" applyFill="1" applyBorder="1" applyAlignment="1">
      <alignment horizontal="center" vertical="center"/>
    </xf>
    <xf numFmtId="0" fontId="15" fillId="0" borderId="6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6" fillId="2" borderId="1" xfId="1" quotePrefix="1" applyNumberFormat="1" applyFont="1" applyFill="1" applyBorder="1" applyAlignment="1" applyProtection="1">
      <alignment vertical="center" wrapText="1"/>
    </xf>
    <xf numFmtId="0" fontId="16" fillId="2" borderId="2" xfId="1" applyNumberFormat="1" applyFont="1" applyFill="1" applyBorder="1" applyAlignment="1" applyProtection="1">
      <alignment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showGridLines="0" tabSelected="1" zoomScaleNormal="10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18.4414062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17.66406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74" t="s">
        <v>51</v>
      </c>
      <c r="B1" s="74"/>
      <c r="C1" s="74"/>
      <c r="D1" s="74"/>
      <c r="E1" s="74"/>
      <c r="F1" s="74"/>
      <c r="G1" s="74"/>
      <c r="H1" s="74"/>
      <c r="I1" s="74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36</v>
      </c>
      <c r="C3" s="20"/>
      <c r="D3" s="26"/>
      <c r="E3" s="33" t="s">
        <v>4</v>
      </c>
      <c r="F3" s="34"/>
      <c r="G3" s="34"/>
      <c r="H3" s="34"/>
      <c r="I3" s="35"/>
    </row>
    <row r="4" spans="1:10" s="3" customFormat="1" ht="20.100000000000001" customHeight="1" x14ac:dyDescent="0.15">
      <c r="A4" s="19" t="s">
        <v>6</v>
      </c>
      <c r="B4" s="21" t="s">
        <v>37</v>
      </c>
      <c r="C4" s="20"/>
      <c r="D4" s="26"/>
      <c r="E4" s="36" t="s">
        <v>11</v>
      </c>
      <c r="F4" s="27"/>
      <c r="G4" s="27"/>
      <c r="H4" s="27"/>
      <c r="I4" s="37"/>
    </row>
    <row r="5" spans="1:10" s="3" customFormat="1" ht="20.100000000000001" customHeight="1" x14ac:dyDescent="0.15">
      <c r="A5" s="19" t="s">
        <v>7</v>
      </c>
      <c r="B5" s="21" t="s">
        <v>55</v>
      </c>
      <c r="C5" s="20"/>
      <c r="D5" s="26"/>
      <c r="E5" s="40" t="s">
        <v>15</v>
      </c>
      <c r="F5" s="27"/>
      <c r="G5" s="27"/>
      <c r="H5" s="27"/>
      <c r="I5" s="37"/>
    </row>
    <row r="6" spans="1:10" s="3" customFormat="1" ht="20.100000000000001" customHeight="1" x14ac:dyDescent="0.15">
      <c r="A6" s="19" t="s">
        <v>8</v>
      </c>
      <c r="B6" s="21" t="s">
        <v>28</v>
      </c>
      <c r="C6" s="20"/>
      <c r="D6" s="26"/>
      <c r="E6" s="41" t="s">
        <v>13</v>
      </c>
      <c r="F6" s="38"/>
      <c r="G6" s="38"/>
      <c r="H6" s="38"/>
      <c r="I6" s="39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10</v>
      </c>
      <c r="B8" s="78" t="s">
        <v>38</v>
      </c>
      <c r="C8" s="79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TEXT(H25," 일금[DBNum4][$-412]G/표준원정") &amp; " (" &amp; DOLLAR(H25) &amp; " 부가세별도)"</f>
        <v xml:space="preserve"> 일금이천팔백만원정 (₩28,000,000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12</v>
      </c>
      <c r="B11" s="13"/>
      <c r="C11" s="13"/>
      <c r="D11" s="13"/>
      <c r="E11" s="9"/>
      <c r="F11" s="9"/>
      <c r="G11" s="9"/>
      <c r="H11" s="17"/>
      <c r="I11" s="18" t="s">
        <v>9</v>
      </c>
    </row>
    <row r="12" spans="1:10" s="5" customFormat="1" ht="27.75" customHeight="1" x14ac:dyDescent="0.15">
      <c r="A12" s="24" t="s">
        <v>0</v>
      </c>
      <c r="B12" s="75" t="s">
        <v>1</v>
      </c>
      <c r="C12" s="76"/>
      <c r="D12" s="77"/>
      <c r="E12" s="25" t="s">
        <v>30</v>
      </c>
      <c r="F12" s="25" t="s">
        <v>14</v>
      </c>
      <c r="G12" s="25" t="s">
        <v>2</v>
      </c>
      <c r="H12" s="25" t="s">
        <v>3</v>
      </c>
      <c r="I12" s="25" t="s">
        <v>29</v>
      </c>
      <c r="J12" s="49"/>
    </row>
    <row r="13" spans="1:10" s="5" customFormat="1" ht="60.75" customHeight="1" x14ac:dyDescent="0.15">
      <c r="A13" s="80" t="s">
        <v>35</v>
      </c>
      <c r="B13" s="72" t="s">
        <v>44</v>
      </c>
      <c r="C13" s="72"/>
      <c r="D13" s="73"/>
      <c r="E13" s="47">
        <v>5</v>
      </c>
      <c r="F13" s="52">
        <v>604342.82999999996</v>
      </c>
      <c r="G13" s="52">
        <v>500000</v>
      </c>
      <c r="H13" s="52">
        <f>SUM(E13:E13)*G13</f>
        <v>2500000</v>
      </c>
      <c r="I13" s="53"/>
      <c r="J13" s="32"/>
    </row>
    <row r="14" spans="1:10" s="5" customFormat="1" ht="27.75" customHeight="1" x14ac:dyDescent="0.15">
      <c r="A14" s="81"/>
      <c r="B14" s="72" t="s">
        <v>45</v>
      </c>
      <c r="C14" s="72"/>
      <c r="D14" s="73"/>
      <c r="E14" s="47">
        <v>3</v>
      </c>
      <c r="F14" s="52">
        <v>604342.82999999996</v>
      </c>
      <c r="G14" s="52">
        <v>500000</v>
      </c>
      <c r="H14" s="52">
        <f t="shared" ref="H14:H23" si="0">SUM(E14:E14)*G14</f>
        <v>1500000</v>
      </c>
      <c r="I14" s="53"/>
      <c r="J14" s="32"/>
    </row>
    <row r="15" spans="1:10" s="5" customFormat="1" ht="27.75" customHeight="1" x14ac:dyDescent="0.15">
      <c r="A15" s="81"/>
      <c r="B15" s="72" t="s">
        <v>46</v>
      </c>
      <c r="C15" s="72"/>
      <c r="D15" s="73"/>
      <c r="E15" s="47">
        <v>1</v>
      </c>
      <c r="F15" s="52">
        <v>604342.82999999996</v>
      </c>
      <c r="G15" s="52">
        <v>500000</v>
      </c>
      <c r="H15" s="52">
        <f t="shared" si="0"/>
        <v>500000</v>
      </c>
      <c r="I15" s="53"/>
      <c r="J15" s="32"/>
    </row>
    <row r="16" spans="1:10" s="5" customFormat="1" ht="27.75" customHeight="1" x14ac:dyDescent="0.15">
      <c r="A16" s="81"/>
      <c r="B16" s="72" t="s">
        <v>39</v>
      </c>
      <c r="C16" s="72"/>
      <c r="D16" s="73"/>
      <c r="E16" s="47">
        <v>2</v>
      </c>
      <c r="F16" s="52">
        <v>604342.82999999996</v>
      </c>
      <c r="G16" s="52">
        <v>500000</v>
      </c>
      <c r="H16" s="52">
        <f t="shared" si="0"/>
        <v>1000000</v>
      </c>
      <c r="I16" s="53"/>
      <c r="J16" s="32"/>
    </row>
    <row r="17" spans="1:10" s="5" customFormat="1" ht="27.75" customHeight="1" x14ac:dyDescent="0.15">
      <c r="A17" s="81"/>
      <c r="B17" s="72" t="s">
        <v>40</v>
      </c>
      <c r="C17" s="72"/>
      <c r="D17" s="73"/>
      <c r="E17" s="47">
        <v>20</v>
      </c>
      <c r="F17" s="52">
        <v>604342.82999999996</v>
      </c>
      <c r="G17" s="52">
        <v>500000</v>
      </c>
      <c r="H17" s="52">
        <f t="shared" si="0"/>
        <v>10000000</v>
      </c>
      <c r="I17" s="53" t="s">
        <v>41</v>
      </c>
      <c r="J17" s="32"/>
    </row>
    <row r="18" spans="1:10" s="5" customFormat="1" ht="27.75" customHeight="1" x14ac:dyDescent="0.15">
      <c r="A18" s="81"/>
      <c r="B18" s="72" t="s">
        <v>47</v>
      </c>
      <c r="C18" s="72"/>
      <c r="D18" s="73"/>
      <c r="E18" s="47">
        <v>4</v>
      </c>
      <c r="F18" s="52">
        <v>604342.82999999996</v>
      </c>
      <c r="G18" s="52">
        <v>500000</v>
      </c>
      <c r="H18" s="52">
        <f t="shared" si="0"/>
        <v>2000000</v>
      </c>
      <c r="I18" s="53"/>
      <c r="J18" s="32"/>
    </row>
    <row r="19" spans="1:10" s="5" customFormat="1" ht="27.75" customHeight="1" x14ac:dyDescent="0.15">
      <c r="A19" s="81"/>
      <c r="B19" s="72" t="s">
        <v>54</v>
      </c>
      <c r="C19" s="72"/>
      <c r="D19" s="73"/>
      <c r="E19" s="47" t="s">
        <v>52</v>
      </c>
      <c r="F19" s="52">
        <v>604342.82999999996</v>
      </c>
      <c r="G19" s="52">
        <v>500000</v>
      </c>
      <c r="H19" s="52">
        <f t="shared" si="0"/>
        <v>0</v>
      </c>
      <c r="I19" s="53" t="s">
        <v>53</v>
      </c>
      <c r="J19" s="32"/>
    </row>
    <row r="20" spans="1:10" s="5" customFormat="1" ht="27.75" customHeight="1" x14ac:dyDescent="0.15">
      <c r="A20" s="81"/>
      <c r="B20" s="72" t="s">
        <v>48</v>
      </c>
      <c r="C20" s="72"/>
      <c r="D20" s="73"/>
      <c r="E20" s="47">
        <v>3</v>
      </c>
      <c r="F20" s="52">
        <v>604342.82999999996</v>
      </c>
      <c r="G20" s="52">
        <v>500000</v>
      </c>
      <c r="H20" s="52">
        <f t="shared" si="0"/>
        <v>1500000</v>
      </c>
      <c r="I20" s="53"/>
      <c r="J20" s="32"/>
    </row>
    <row r="21" spans="1:10" s="5" customFormat="1" ht="27.75" customHeight="1" x14ac:dyDescent="0.15">
      <c r="A21" s="81"/>
      <c r="B21" s="72" t="s">
        <v>42</v>
      </c>
      <c r="C21" s="72"/>
      <c r="D21" s="73"/>
      <c r="E21" s="47">
        <v>10</v>
      </c>
      <c r="F21" s="52">
        <v>604342.82999999996</v>
      </c>
      <c r="G21" s="52">
        <v>500000</v>
      </c>
      <c r="H21" s="52">
        <f t="shared" si="0"/>
        <v>5000000</v>
      </c>
      <c r="I21" s="53"/>
      <c r="J21" s="32"/>
    </row>
    <row r="22" spans="1:10" s="5" customFormat="1" ht="27.75" customHeight="1" x14ac:dyDescent="0.15">
      <c r="A22" s="81"/>
      <c r="B22" s="72" t="s">
        <v>43</v>
      </c>
      <c r="C22" s="72"/>
      <c r="D22" s="73"/>
      <c r="E22" s="47">
        <v>3</v>
      </c>
      <c r="F22" s="52">
        <v>604342.82999999996</v>
      </c>
      <c r="G22" s="52">
        <v>500000</v>
      </c>
      <c r="H22" s="52">
        <f t="shared" si="0"/>
        <v>1500000</v>
      </c>
      <c r="I22" s="53"/>
      <c r="J22" s="32"/>
    </row>
    <row r="23" spans="1:10" s="5" customFormat="1" ht="27.75" customHeight="1" x14ac:dyDescent="0.15">
      <c r="A23" s="81"/>
      <c r="B23" s="72" t="s">
        <v>49</v>
      </c>
      <c r="C23" s="72"/>
      <c r="D23" s="73"/>
      <c r="E23" s="47">
        <v>5</v>
      </c>
      <c r="F23" s="52">
        <v>604342.82999999996</v>
      </c>
      <c r="G23" s="52">
        <v>500000</v>
      </c>
      <c r="H23" s="52">
        <f t="shared" si="0"/>
        <v>2500000</v>
      </c>
      <c r="I23" s="53"/>
      <c r="J23" s="32"/>
    </row>
    <row r="24" spans="1:10" s="5" customFormat="1" ht="21" customHeight="1" x14ac:dyDescent="0.15">
      <c r="A24" s="63" t="s">
        <v>34</v>
      </c>
      <c r="B24" s="64"/>
      <c r="C24" s="65"/>
      <c r="D24" s="66"/>
      <c r="E24" s="48">
        <f>SUM(E13:E23)</f>
        <v>56</v>
      </c>
      <c r="F24" s="42"/>
      <c r="G24" s="42"/>
      <c r="H24" s="42">
        <f>SUM(H13:H23)</f>
        <v>28000000</v>
      </c>
      <c r="I24" s="43"/>
      <c r="J24" s="32"/>
    </row>
    <row r="25" spans="1:10" s="5" customFormat="1" ht="21" customHeight="1" x14ac:dyDescent="0.15">
      <c r="A25" s="70" t="s">
        <v>16</v>
      </c>
      <c r="B25" s="65"/>
      <c r="C25" s="65"/>
      <c r="D25" s="66"/>
      <c r="E25" s="48">
        <f>E24</f>
        <v>56</v>
      </c>
      <c r="F25" s="42"/>
      <c r="G25" s="42"/>
      <c r="H25" s="42">
        <f>H24</f>
        <v>28000000</v>
      </c>
      <c r="I25" s="43"/>
      <c r="J25" s="32"/>
    </row>
    <row r="26" spans="1:10" s="4" customFormat="1" ht="14.25" customHeight="1" x14ac:dyDescent="0.25">
      <c r="A26" s="28"/>
      <c r="B26" s="13"/>
      <c r="C26" s="13"/>
      <c r="D26" s="13"/>
      <c r="E26" s="9"/>
      <c r="F26" s="9"/>
      <c r="G26" s="9"/>
      <c r="H26" s="17"/>
      <c r="I26" s="18"/>
    </row>
    <row r="27" spans="1:10" s="3" customFormat="1" ht="64.5" customHeight="1" x14ac:dyDescent="0.15">
      <c r="A27" s="51" t="s">
        <v>32</v>
      </c>
      <c r="B27" s="71" t="s">
        <v>50</v>
      </c>
      <c r="C27" s="58"/>
      <c r="D27" s="58"/>
      <c r="E27" s="58"/>
      <c r="F27" s="58"/>
      <c r="G27" s="58"/>
      <c r="H27" s="58"/>
      <c r="I27" s="59"/>
      <c r="J27" s="50"/>
    </row>
    <row r="28" spans="1:10" s="3" customFormat="1" ht="17.100000000000001" customHeight="1" x14ac:dyDescent="0.15">
      <c r="A28" s="29"/>
      <c r="B28" s="57" t="s">
        <v>19</v>
      </c>
      <c r="C28" s="58"/>
      <c r="D28" s="58"/>
      <c r="E28" s="58"/>
      <c r="F28" s="58"/>
      <c r="G28" s="58"/>
      <c r="H28" s="58"/>
      <c r="I28" s="59"/>
    </row>
    <row r="29" spans="1:10" s="3" customFormat="1" ht="17.100000000000001" customHeight="1" x14ac:dyDescent="0.15">
      <c r="A29" s="30" t="s">
        <v>31</v>
      </c>
      <c r="B29" s="60" t="s">
        <v>20</v>
      </c>
      <c r="C29" s="61"/>
      <c r="D29" s="61"/>
      <c r="E29" s="61"/>
      <c r="F29" s="61"/>
      <c r="G29" s="61"/>
      <c r="H29" s="61"/>
      <c r="I29" s="62"/>
    </row>
    <row r="30" spans="1:10" s="3" customFormat="1" ht="17.100000000000001" customHeight="1" x14ac:dyDescent="0.15">
      <c r="A30" s="30"/>
      <c r="B30" s="60" t="s">
        <v>21</v>
      </c>
      <c r="C30" s="61"/>
      <c r="D30" s="61"/>
      <c r="E30" s="61"/>
      <c r="F30" s="61"/>
      <c r="G30" s="61"/>
      <c r="H30" s="61"/>
      <c r="I30" s="62"/>
    </row>
    <row r="31" spans="1:10" s="3" customFormat="1" ht="17.100000000000001" customHeight="1" x14ac:dyDescent="0.15">
      <c r="A31" s="30"/>
      <c r="B31" s="67" t="s">
        <v>27</v>
      </c>
      <c r="C31" s="68"/>
      <c r="D31" s="68"/>
      <c r="E31" s="68"/>
      <c r="F31" s="68"/>
      <c r="G31" s="68"/>
      <c r="H31" s="68"/>
      <c r="I31" s="69"/>
    </row>
    <row r="32" spans="1:10" s="3" customFormat="1" ht="17.100000000000001" customHeight="1" x14ac:dyDescent="0.15">
      <c r="A32" s="30"/>
      <c r="B32" s="60" t="s">
        <v>17</v>
      </c>
      <c r="C32" s="61"/>
      <c r="D32" s="61"/>
      <c r="E32" s="61"/>
      <c r="F32" s="61"/>
      <c r="G32" s="61"/>
      <c r="H32" s="61"/>
      <c r="I32" s="62"/>
    </row>
    <row r="33" spans="1:9" s="3" customFormat="1" ht="17.100000000000001" customHeight="1" x14ac:dyDescent="0.15">
      <c r="A33" s="30"/>
      <c r="B33" s="67" t="s">
        <v>18</v>
      </c>
      <c r="C33" s="68"/>
      <c r="D33" s="68"/>
      <c r="E33" s="68"/>
      <c r="F33" s="68"/>
      <c r="G33" s="68"/>
      <c r="H33" s="68"/>
      <c r="I33" s="69"/>
    </row>
    <row r="34" spans="1:9" s="3" customFormat="1" ht="17.100000000000001" customHeight="1" x14ac:dyDescent="0.15">
      <c r="A34" s="30"/>
      <c r="B34" s="67" t="s">
        <v>22</v>
      </c>
      <c r="C34" s="68"/>
      <c r="D34" s="68"/>
      <c r="E34" s="68"/>
      <c r="F34" s="68"/>
      <c r="G34" s="68"/>
      <c r="H34" s="68"/>
      <c r="I34" s="69"/>
    </row>
    <row r="35" spans="1:9" s="3" customFormat="1" ht="17.100000000000001" customHeight="1" x14ac:dyDescent="0.15">
      <c r="A35" s="30"/>
      <c r="B35" s="44" t="s">
        <v>23</v>
      </c>
      <c r="C35" s="45"/>
      <c r="D35" s="45"/>
      <c r="E35" s="45"/>
      <c r="F35" s="45"/>
      <c r="G35" s="45"/>
      <c r="H35" s="45"/>
      <c r="I35" s="46"/>
    </row>
    <row r="36" spans="1:9" s="3" customFormat="1" ht="17.100000000000001" customHeight="1" x14ac:dyDescent="0.15">
      <c r="A36" s="30"/>
      <c r="B36" s="60" t="s">
        <v>24</v>
      </c>
      <c r="C36" s="61"/>
      <c r="D36" s="61"/>
      <c r="E36" s="61"/>
      <c r="F36" s="61"/>
      <c r="G36" s="61"/>
      <c r="H36" s="61"/>
      <c r="I36" s="62"/>
    </row>
    <row r="37" spans="1:9" s="3" customFormat="1" ht="17.100000000000001" customHeight="1" x14ac:dyDescent="0.15">
      <c r="A37" s="30"/>
      <c r="B37" s="60" t="s">
        <v>33</v>
      </c>
      <c r="C37" s="61"/>
      <c r="D37" s="61"/>
      <c r="E37" s="61"/>
      <c r="F37" s="61"/>
      <c r="G37" s="61"/>
      <c r="H37" s="61"/>
      <c r="I37" s="62"/>
    </row>
    <row r="38" spans="1:9" s="3" customFormat="1" ht="17.100000000000001" customHeight="1" x14ac:dyDescent="0.15">
      <c r="A38" s="30"/>
      <c r="B38" s="60" t="s">
        <v>25</v>
      </c>
      <c r="C38" s="61"/>
      <c r="D38" s="61"/>
      <c r="E38" s="61"/>
      <c r="F38" s="61"/>
      <c r="G38" s="61"/>
      <c r="H38" s="61"/>
      <c r="I38" s="62"/>
    </row>
    <row r="39" spans="1:9" s="3" customFormat="1" ht="17.100000000000001" customHeight="1" x14ac:dyDescent="0.15">
      <c r="A39" s="30"/>
      <c r="B39" s="60" t="s">
        <v>26</v>
      </c>
      <c r="C39" s="61"/>
      <c r="D39" s="61"/>
      <c r="E39" s="61"/>
      <c r="F39" s="61"/>
      <c r="G39" s="61"/>
      <c r="H39" s="61"/>
      <c r="I39" s="62"/>
    </row>
    <row r="40" spans="1:9" s="3" customFormat="1" ht="17.100000000000001" customHeight="1" x14ac:dyDescent="0.15">
      <c r="A40" s="31"/>
      <c r="B40" s="54"/>
      <c r="C40" s="55"/>
      <c r="D40" s="55"/>
      <c r="E40" s="55"/>
      <c r="F40" s="55"/>
      <c r="G40" s="55"/>
      <c r="H40" s="55"/>
      <c r="I40" s="56"/>
    </row>
    <row r="41" spans="1:9" customFormat="1" ht="15.95" customHeight="1" x14ac:dyDescent="0.15"/>
    <row r="42" spans="1:9" s="2" customFormat="1" x14ac:dyDescent="0.15"/>
    <row r="43" spans="1:9" s="2" customFormat="1" x14ac:dyDescent="0.15"/>
    <row r="44" spans="1:9" s="2" customFormat="1" x14ac:dyDescent="0.15"/>
    <row r="45" spans="1:9" s="2" customFormat="1" x14ac:dyDescent="0.15"/>
    <row r="46" spans="1:9" s="2" customFormat="1" x14ac:dyDescent="0.15"/>
    <row r="47" spans="1:9" s="2" customFormat="1" x14ac:dyDescent="0.15"/>
  </sheetData>
  <mergeCells count="30">
    <mergeCell ref="B19:D19"/>
    <mergeCell ref="A1:I1"/>
    <mergeCell ref="B12:D12"/>
    <mergeCell ref="B13:D13"/>
    <mergeCell ref="B8:C8"/>
    <mergeCell ref="A13:A2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40:I40"/>
    <mergeCell ref="B28:I28"/>
    <mergeCell ref="B29:I29"/>
    <mergeCell ref="A24:D24"/>
    <mergeCell ref="B39:I39"/>
    <mergeCell ref="B31:I31"/>
    <mergeCell ref="B38:I38"/>
    <mergeCell ref="B32:I32"/>
    <mergeCell ref="B37:I37"/>
    <mergeCell ref="B33:I33"/>
    <mergeCell ref="B36:I36"/>
    <mergeCell ref="A25:D25"/>
    <mergeCell ref="B30:I30"/>
    <mergeCell ref="B27:I27"/>
    <mergeCell ref="B34:I34"/>
  </mergeCells>
  <phoneticPr fontId="6" type="noConversion"/>
  <dataValidations xWindow="180" yWindow="516" count="1">
    <dataValidation allowBlank="1" showInputMessage="1" showErrorMessage="1" promptTitle="견적금액 표시" prompt="공급금액 합계(VAT별도)를 견적금액(VAT별도) 한글로 자동변환 표시" sqref="B8:B9 D8:H9 C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2019-01-18T01:10:01Z</cp:lastPrinted>
  <dcterms:created xsi:type="dcterms:W3CDTF">2001-05-22T00:47:40Z</dcterms:created>
  <dcterms:modified xsi:type="dcterms:W3CDTF">2024-01-24T04:42:20Z</dcterms:modified>
</cp:coreProperties>
</file>