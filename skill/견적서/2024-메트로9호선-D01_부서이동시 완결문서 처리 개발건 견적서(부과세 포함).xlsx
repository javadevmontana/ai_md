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bizwell\Desktop\사이트관리\!!사용한양식\견적서\"/>
    </mc:Choice>
  </mc:AlternateContent>
  <xr:revisionPtr revIDLastSave="0" documentId="13_ncr:1_{ADF90102-4739-4322-BCFC-D125961D52C8}" xr6:coauthVersionLast="47" xr6:coauthVersionMax="47" xr10:uidLastSave="{00000000-0000-0000-0000-000000000000}"/>
  <bookViews>
    <workbookView xWindow="28680" yWindow="-120" windowWidth="29040" windowHeight="15840" xr2:uid="{00000000-000D-0000-FFFF-FFFF00000000}"/>
  </bookViews>
  <sheets>
    <sheet name="견적서"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 l="1"/>
  <c r="H13" i="3"/>
  <c r="H14" i="3" s="1"/>
  <c r="E14" i="3" l="1"/>
  <c r="E16" i="3" s="1"/>
  <c r="H16" i="3" l="1"/>
</calcChain>
</file>

<file path=xl/sharedStrings.xml><?xml version="1.0" encoding="utf-8"?>
<sst xmlns="http://schemas.openxmlformats.org/spreadsheetml/2006/main" count="47" uniqueCount="47">
  <si>
    <t xml:space="preserve"> 4) 개발 소요기간은 산정된 작업공수와 동일하지 않습니다. (별도 협의 필요)</t>
    <phoneticPr fontId="9" type="noConversion"/>
  </si>
  <si>
    <t xml:space="preserve"> 3) 견적 유효기간 내에 개발진행 확정시 세부 개발일정에 대한 협의가 이루어집니다.</t>
    <phoneticPr fontId="9" type="noConversion"/>
  </si>
  <si>
    <t xml:space="preserve">    - 8MH = 1MD,  20MD = 1MM</t>
    <phoneticPr fontId="9" type="noConversion"/>
  </si>
  <si>
    <t xml:space="preserve"> 2) 공수산정 기준은 다음과 같습니다. (실제 투입 공수는 변경될 수 있음)</t>
    <phoneticPr fontId="9" type="noConversion"/>
  </si>
  <si>
    <t xml:space="preserve">    - 단, 산출물 작성 위한 공수는 별도 </t>
    <phoneticPr fontId="9" type="noConversion"/>
  </si>
  <si>
    <t xml:space="preserve">    - 그 예로 협의를 위한 방문지원 시간, 유선상의 연락 및 확인시간 등 일련의 모든 활동</t>
    <phoneticPr fontId="9" type="noConversion"/>
  </si>
  <si>
    <t xml:space="preserve"> 1) 공수의 기준은 해당 시스템의 구축을 위하여 소요되는 모든 활동을 포함됩니다.</t>
    <phoneticPr fontId="9" type="noConversion"/>
  </si>
  <si>
    <t>※ 공수 산정 시 주요 가정 및 기타 참고사항</t>
    <phoneticPr fontId="9" type="noConversion"/>
  </si>
  <si>
    <t>※ 투입인력 작업수행 조건 : 비상주 (상주 요구 시 재견적 필요)</t>
    <phoneticPr fontId="9" type="noConversion"/>
  </si>
  <si>
    <t>※ 공급단가 : 작업 수행인력 외 기술지원부문(프로젝트지원팀,기술연구소 등) 반영 단가 임</t>
    <phoneticPr fontId="9" type="noConversion"/>
  </si>
  <si>
    <t>※ 적용등급 : 중급</t>
    <phoneticPr fontId="9" type="noConversion"/>
  </si>
  <si>
    <t>참조 사항</t>
    <phoneticPr fontId="9" type="noConversion"/>
  </si>
  <si>
    <t>전제 조건
및
고려사항</t>
    <phoneticPr fontId="9" type="noConversion"/>
  </si>
  <si>
    <t>견적 금액</t>
    <phoneticPr fontId="9" type="noConversion"/>
  </si>
  <si>
    <t>합  계</t>
    <phoneticPr fontId="9" type="noConversion"/>
  </si>
  <si>
    <t>비  고</t>
    <phoneticPr fontId="9" type="noConversion"/>
  </si>
  <si>
    <t>공급 금액</t>
    <phoneticPr fontId="9" type="noConversion"/>
  </si>
  <si>
    <t>공급 단가</t>
    <phoneticPr fontId="9" type="noConversion"/>
  </si>
  <si>
    <t>SW노임단가</t>
    <phoneticPr fontId="9" type="noConversion"/>
  </si>
  <si>
    <t>M/D</t>
    <phoneticPr fontId="9" type="noConversion"/>
  </si>
  <si>
    <t>내   용</t>
    <phoneticPr fontId="9" type="noConversion"/>
  </si>
  <si>
    <t>항 목</t>
    <phoneticPr fontId="9" type="noConversion"/>
  </si>
  <si>
    <t xml:space="preserve"> 아래와 같이 견적합니다.</t>
    <phoneticPr fontId="9" type="noConversion"/>
  </si>
  <si>
    <t>견적 금액</t>
    <phoneticPr fontId="9" type="noConversion"/>
  </si>
  <si>
    <t>견  적  명</t>
    <phoneticPr fontId="9" type="noConversion"/>
  </si>
  <si>
    <t xml:space="preserve"> ☎ 031-425-5820   Fax) 031-450-5821</t>
    <phoneticPr fontId="9" type="noConversion"/>
  </si>
  <si>
    <t>유효 기간</t>
    <phoneticPr fontId="9" type="noConversion"/>
  </si>
  <si>
    <t xml:space="preserve"> 경기 안양 동안구 학의로 282 금강펜테리움IT타워 B-1915</t>
    <phoneticPr fontId="9" type="noConversion"/>
  </si>
  <si>
    <t>견적 일자</t>
    <phoneticPr fontId="9" type="noConversion"/>
  </si>
  <si>
    <r>
      <t xml:space="preserve"> 대표이사  신 재 복        </t>
    </r>
    <r>
      <rPr>
        <sz val="8"/>
        <rFont val="맑은 고딕"/>
        <family val="3"/>
        <charset val="129"/>
        <scheme val="minor"/>
      </rPr>
      <t>(직인생략)</t>
    </r>
    <phoneticPr fontId="9" type="noConversion"/>
  </si>
  <si>
    <t>제  출  처</t>
    <phoneticPr fontId="9" type="noConversion"/>
  </si>
  <si>
    <t xml:space="preserve"> 주식회사  비 즈 웰</t>
    <phoneticPr fontId="9" type="noConversion"/>
  </si>
  <si>
    <t>견적 번호</t>
    <phoneticPr fontId="9" type="noConversion"/>
  </si>
  <si>
    <t>견   적   서</t>
    <phoneticPr fontId="11" type="noConversion"/>
  </si>
  <si>
    <t>개발비</t>
    <phoneticPr fontId="9" type="noConversion"/>
  </si>
  <si>
    <t/>
  </si>
  <si>
    <t xml:space="preserve"> 견적일로부터 2개월 이내</t>
    <phoneticPr fontId="9" type="noConversion"/>
  </si>
  <si>
    <t>※ SW노임단가는 2018년 소프트웨어 기술자 노임대가 기준입니다. (제경비 110%, 기술료 30% 산정)</t>
    <phoneticPr fontId="9" type="noConversion"/>
  </si>
  <si>
    <t xml:space="preserve"> 2024-메트로9호선-D01</t>
    <phoneticPr fontId="9" type="noConversion"/>
  </si>
  <si>
    <t>메트로9호선</t>
    <phoneticPr fontId="9" type="noConversion"/>
  </si>
  <si>
    <t>1. 부서 이동(부서코드 변경 포함) 시 전자결재 - 완결문서가
   보이지 않게 처리
2. 부서 이동한 사용자가 원 부서로 이동시 완결문서가 다시
   보이게 처리
3. 부서 이동이 없었던 사용자는 현재 기준으로 완결문서가 
   보여지며 부서 이동한 내역이 있던 직원은 부서 이동 내역에
   따라 완결문서가 보이게 처리 
   (부서 이동 내역은 고객사가 제공)
4. 사용자의 부서 변경이 아닌 부서의 부서 코드가 변경될 경우
   사용자가 문서를 볼 수 있게 수동으로 변경 가능한 기능 개발 
   포함</t>
    <phoneticPr fontId="34" type="noConversion"/>
  </si>
  <si>
    <t>부가세</t>
    <phoneticPr fontId="9" type="noConversion"/>
  </si>
  <si>
    <t>부가세 포함</t>
    <phoneticPr fontId="34" type="noConversion"/>
  </si>
  <si>
    <t xml:space="preserve"> 2024.09.30</t>
    <phoneticPr fontId="9" type="noConversion"/>
  </si>
  <si>
    <t>부서이동시 완결문서 처리 개발 건</t>
    <phoneticPr fontId="9" type="noConversion"/>
  </si>
  <si>
    <t>부서이동시 완결문서 처리 개발 건</t>
    <phoneticPr fontId="34" type="noConversion"/>
  </si>
  <si>
    <t>(단위:원, 부가세포함)</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</si>
</sst>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 #,##0_-;_-* &quot;-&quot;_-;_-@_-"/>
    <numFmt numFmtId="176" formatCode="0.0_);[Red]\(0.0\)"/>
  </numFmts>
  <fonts count="35">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8"/>
      <name val="돋움"/>
      <family val="3"/>
      <charset val="129"/>
    </font>
    <font>
      <sz val="10"/>
      <name val="MS Sans Serif"/>
      <family val="2"/>
    </font>
    <font>
      <b/>
      <sz val="9"/>
      <name val="굴림체"/>
      <family val="3"/>
      <charset val="129"/>
    </font>
    <font>
      <sz val="11"/>
      <name val="굴림체"/>
      <family val="3"/>
      <charset val="129"/>
    </font>
    <font>
      <sz val="9"/>
      <name val="HY그래픽M"/>
      <family val="1"/>
      <charset val="129"/>
    </font>
    <font>
      <sz val="11"/>
      <name val="HY그래픽M"/>
      <family val="1"/>
      <charset val="129"/>
    </font>
    <font>
      <sz val="10"/>
      <name val="HY그래픽M"/>
      <family val="1"/>
      <charset val="129"/>
    </font>
    <font>
      <b/>
      <sz val="20"/>
      <name val="맑은 고딕"/>
      <family val="3"/>
      <charset val="129"/>
      <scheme val="minor"/>
    </font>
    <font>
      <b/>
      <sz val="10"/>
      <name val="맑은 고딕"/>
      <family val="3"/>
      <charset val="129"/>
      <scheme val="minor"/>
    </font>
    <font>
      <sz val="10"/>
      <name val="맑은 고딕"/>
      <family val="3"/>
      <charset val="129"/>
      <scheme val="minor"/>
    </font>
    <font>
      <sz val="10"/>
      <color indexed="8"/>
      <name val="맑은 고딕"/>
      <family val="3"/>
      <charset val="129"/>
      <scheme val="minor"/>
    </font>
    <font>
      <b/>
      <sz val="10"/>
      <color indexed="8"/>
      <name val="맑은 고딕"/>
      <family val="3"/>
      <charset val="129"/>
      <scheme val="minor"/>
    </font>
    <font>
      <sz val="9"/>
      <name val="맑은 고딕"/>
      <family val="3"/>
      <charset val="129"/>
      <scheme val="minor"/>
    </font>
    <font>
      <sz val="18"/>
      <name val="맑은 고딕"/>
      <family val="3"/>
      <charset val="129"/>
      <scheme val="major"/>
    </font>
    <font>
      <sz val="11"/>
      <color theme="1"/>
      <name val="맑은 고딕"/>
      <family val="2"/>
      <charset val="129"/>
    </font>
    <font>
      <sz val="8"/>
      <name val="맑은 고딕"/>
      <family val="3"/>
      <charset val="129"/>
      <scheme val="minor"/>
    </font>
    <font>
      <sz val="11"/>
      <color theme="1"/>
      <name val="맑은 고딕"/>
      <family val="3"/>
      <charset val="129"/>
      <scheme val="minor"/>
    </font>
    <font>
      <sz val="10"/>
      <name val="Arial"/>
      <family val="2"/>
    </font>
    <font>
      <sz val="10"/>
      <name val="맑은 고딕"/>
      <family val="3"/>
      <charset val="129"/>
    </font>
    <font>
      <b/>
      <sz val="9"/>
      <name val="맑은 고딕"/>
      <family val="3"/>
      <charset val="129"/>
      <scheme val="minor"/>
    </font>
    <font>
      <b/>
      <sz val="11"/>
      <name val="돋움"/>
      <family val="3"/>
      <charset val="129"/>
    </font>
    <font>
      <sz val="9"/>
      <color rgb="FFFF0000"/>
      <name val="HY그래픽M"/>
      <family val="1"/>
      <charset val="129"/>
    </font>
    <font>
      <sz val="10"/>
      <color rgb="FFFF0000"/>
      <name val="HY그래픽M"/>
      <family val="1"/>
      <charset val="129"/>
    </font>
    <font>
      <sz val="9"/>
      <color theme="1"/>
      <name val="맑은 고딕"/>
      <family val="3"/>
      <charset val="129"/>
      <scheme val="minor"/>
    </font>
    <font>
      <sz val="9"/>
      <name val="맑은 고딕"/>
      <family val="3"/>
      <charset val="129"/>
    </font>
    <font>
      <sz val="8"/>
      <name val="맑은 고딕"/>
      <family val="2"/>
      <charset val="129"/>
      <scheme val="minor"/>
    </font>
  </fonts>
  <fills count="7">
    <fill>
      <patternFill patternType="none"/>
    </fill>
    <fill>
      <patternFill patternType="gray125"/>
    </fill>
    <fill>
      <patternFill patternType="solid">
        <fgColor indexed="9"/>
        <bgColor indexed="64"/>
      </patternFill>
    </fill>
    <fill>
      <patternFill patternType="solid">
        <fgColor indexed="22"/>
        <bgColor indexed="9"/>
      </patternFill>
    </fill>
    <fill>
      <patternFill patternType="solid">
        <fgColor theme="0" tint="-0.14999847407452621"/>
        <bgColor indexed="64"/>
      </patternFill>
    </fill>
    <fill>
      <patternFill patternType="solid">
        <fgColor theme="0" tint="-0.249977111117893"/>
        <bgColor indexed="64"/>
      </patternFill>
    </fill>
    <fill>
      <patternFill patternType="solid">
        <fgColor theme="0"/>
        <bgColor rgb="FFCCFFFF"/>
      </patternFill>
    </fill>
  </fills>
  <borders count="19">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thin">
        <color theme="0" tint="-0.499984740745262"/>
      </left>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style="thin">
        <color theme="0" tint="-0.499984740745262"/>
      </right>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indexed="64"/>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s>
  <cellStyleXfs count="20">
    <xf numFmtId="0" fontId="0" fillId="0" borderId="0"/>
    <xf numFmtId="41" fontId="8" fillId="0" borderId="0" applyFont="0" applyFill="0" applyBorder="0" applyAlignment="0" applyProtection="0"/>
    <xf numFmtId="0" fontId="10" fillId="0" borderId="0"/>
    <xf numFmtId="0" fontId="23" fillId="0" borderId="0">
      <alignment vertical="center"/>
    </xf>
    <xf numFmtId="0" fontId="7" fillId="0" borderId="0">
      <alignment vertical="center"/>
    </xf>
    <xf numFmtId="0" fontId="8" fillId="0" borderId="0">
      <alignment vertical="center"/>
    </xf>
    <xf numFmtId="0" fontId="25" fillId="0" borderId="0">
      <alignment vertical="center"/>
    </xf>
    <xf numFmtId="0" fontId="26" fillId="0" borderId="0"/>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41" fontId="8" fillId="0" borderId="0" applyFon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1">
    <xf numFmtId="0" fontId="0" fillId="0" borderId="0" xfId="0"/>
    <xf numFmtId="0" fontId="12" fillId="0" borderId="0" xfId="0" applyFont="1"/>
    <xf numFmtId="0" fontId="14" fillId="0" borderId="0" xfId="0" applyFont="1"/>
    <xf numFmtId="0" fontId="15" fillId="0" borderId="0" xfId="0" applyFont="1" applyAlignment="1">
      <alignment vertical="center"/>
    </xf>
    <xf numFmtId="0" fontId="15" fillId="0" borderId="0" xfId="0" applyFont="1"/>
    <xf numFmtId="0" fontId="13" fillId="0" borderId="0" xfId="0" applyFont="1" applyAlignment="1">
      <alignment vertical="center"/>
    </xf>
    <xf numFmtId="0" fontId="16" fillId="0" borderId="0" xfId="2" applyFont="1" applyAlignment="1" applyProtection="1">
      <alignment horizontal="centerContinuous" vertical="center"/>
      <protection locked="0"/>
    </xf>
    <xf numFmtId="0" fontId="16" fillId="0" borderId="0" xfId="2" applyFont="1" applyAlignment="1">
      <alignment horizontal="centerContinuous" vertical="center"/>
    </xf>
    <xf numFmtId="41" fontId="16" fillId="0" borderId="0" xfId="2" applyNumberFormat="1" applyFont="1" applyAlignment="1">
      <alignment horizontal="centerContinuous" vertical="center"/>
    </xf>
    <xf numFmtId="41" fontId="17" fillId="0" borderId="0" xfId="2" applyNumberFormat="1" applyFont="1" applyAlignment="1">
      <alignment horizontal="center" vertical="center"/>
    </xf>
    <xf numFmtId="49" fontId="17" fillId="0" borderId="0" xfId="2" applyNumberFormat="1" applyFont="1" applyAlignment="1">
      <alignment vertical="center"/>
    </xf>
    <xf numFmtId="0" fontId="18" fillId="0" borderId="0" xfId="0" applyFont="1" applyAlignment="1">
      <alignment vertical="center"/>
    </xf>
    <xf numFmtId="0" fontId="18" fillId="0" borderId="0" xfId="2" applyFont="1" applyAlignment="1">
      <alignment horizontal="left" vertical="center"/>
    </xf>
    <xf numFmtId="0" fontId="17" fillId="0" borderId="0" xfId="2" applyFont="1" applyAlignment="1">
      <alignment horizontal="center" vertical="center"/>
    </xf>
    <xf numFmtId="0" fontId="19" fillId="2" borderId="1" xfId="1" applyNumberFormat="1" applyFont="1" applyFill="1" applyBorder="1" applyAlignment="1" applyProtection="1">
      <alignment vertical="center"/>
    </xf>
    <xf numFmtId="0" fontId="20" fillId="2" borderId="2" xfId="1" applyNumberFormat="1" applyFont="1" applyFill="1" applyBorder="1" applyAlignment="1" applyProtection="1">
      <alignment vertical="center"/>
    </xf>
    <xf numFmtId="49" fontId="17" fillId="0" borderId="3" xfId="2" applyNumberFormat="1" applyFont="1" applyBorder="1" applyAlignment="1">
      <alignment vertical="center"/>
    </xf>
    <xf numFmtId="41" fontId="17" fillId="0" borderId="0" xfId="2" applyNumberFormat="1" applyFont="1" applyAlignment="1">
      <alignment horizontal="center"/>
    </xf>
    <xf numFmtId="0" fontId="21" fillId="0" borderId="0" xfId="0" applyFont="1" applyAlignment="1">
      <alignment horizontal="right" vertical="center"/>
    </xf>
    <xf numFmtId="0" fontId="17" fillId="4" borderId="1" xfId="2" applyFont="1" applyFill="1" applyBorder="1" applyAlignment="1">
      <alignment horizontal="center" vertical="center"/>
    </xf>
    <xf numFmtId="0" fontId="17" fillId="0" borderId="3" xfId="2" applyFont="1" applyBorder="1" applyAlignment="1">
      <alignment horizontal="center" vertical="center"/>
    </xf>
    <xf numFmtId="0" fontId="18" fillId="0" borderId="1" xfId="2" applyFont="1" applyBorder="1" applyAlignment="1">
      <alignment horizontal="left" vertical="center"/>
    </xf>
    <xf numFmtId="0" fontId="17" fillId="4" borderId="6" xfId="2" applyFont="1" applyFill="1" applyBorder="1" applyAlignment="1">
      <alignment horizontal="center" vertical="center"/>
    </xf>
    <xf numFmtId="0" fontId="17" fillId="4" borderId="4" xfId="2" applyFont="1" applyFill="1" applyBorder="1" applyAlignment="1">
      <alignment horizontal="center" vertical="center"/>
    </xf>
    <xf numFmtId="0" fontId="21" fillId="4" borderId="5" xfId="2" applyFont="1" applyFill="1" applyBorder="1" applyAlignment="1">
      <alignment horizontal="center" vertical="center"/>
    </xf>
    <xf numFmtId="41" fontId="21" fillId="4" borderId="5" xfId="1" applyFont="1" applyFill="1" applyBorder="1" applyAlignment="1">
      <alignment horizontal="center" vertical="center"/>
    </xf>
    <xf numFmtId="0" fontId="17" fillId="0" borderId="7" xfId="2" applyFont="1" applyBorder="1" applyAlignment="1">
      <alignment horizontal="center" vertical="center"/>
    </xf>
    <xf numFmtId="0" fontId="18" fillId="0" borderId="0" xfId="2" applyFont="1" applyAlignment="1">
      <alignment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8" xfId="0" applyFont="1" applyBorder="1" applyAlignment="1">
      <alignment horizontal="center" vertical="center"/>
    </xf>
    <xf numFmtId="41" fontId="13" fillId="0" borderId="0" xfId="0" applyNumberFormat="1" applyFont="1" applyAlignment="1">
      <alignment vertical="center"/>
    </xf>
    <xf numFmtId="49" fontId="18" fillId="0" borderId="6" xfId="2" applyNumberFormat="1" applyFont="1" applyBorder="1" applyAlignment="1">
      <alignment vertical="center"/>
    </xf>
    <xf numFmtId="41" fontId="17" fillId="0" borderId="12" xfId="2" applyNumberFormat="1" applyFont="1" applyBorder="1" applyAlignment="1">
      <alignment horizontal="center" vertical="center"/>
    </xf>
    <xf numFmtId="0" fontId="15" fillId="0" borderId="13" xfId="0" applyFont="1" applyBorder="1" applyAlignment="1">
      <alignment vertical="center"/>
    </xf>
    <xf numFmtId="49" fontId="18" fillId="0" borderId="7" xfId="2" applyNumberFormat="1" applyFont="1" applyBorder="1" applyAlignment="1">
      <alignment vertical="center"/>
    </xf>
    <xf numFmtId="0" fontId="15" fillId="0" borderId="11" xfId="0" applyFont="1" applyBorder="1" applyAlignment="1">
      <alignment vertical="center"/>
    </xf>
    <xf numFmtId="49" fontId="17" fillId="0" borderId="9" xfId="2" applyNumberFormat="1" applyFont="1" applyBorder="1" applyAlignment="1">
      <alignment vertical="center"/>
    </xf>
    <xf numFmtId="0" fontId="15" fillId="0" borderId="10" xfId="0" applyFont="1" applyBorder="1" applyAlignment="1">
      <alignment vertical="center"/>
    </xf>
    <xf numFmtId="49" fontId="27" fillId="0" borderId="7" xfId="2" applyNumberFormat="1" applyFont="1" applyBorder="1" applyAlignment="1">
      <alignment vertical="center"/>
    </xf>
    <xf numFmtId="49" fontId="18" fillId="0" borderId="8" xfId="2" applyNumberFormat="1" applyFont="1" applyBorder="1" applyAlignment="1">
      <alignment vertical="center"/>
    </xf>
    <xf numFmtId="41" fontId="28" fillId="5" borderId="4" xfId="2" applyNumberFormat="1" applyFont="1" applyFill="1" applyBorder="1" applyAlignment="1">
      <alignment horizontal="center" vertical="center"/>
    </xf>
    <xf numFmtId="9" fontId="28" fillId="5" borderId="4" xfId="2" applyNumberFormat="1" applyFont="1" applyFill="1" applyBorder="1" applyAlignment="1">
      <alignment horizontal="center" vertical="center"/>
    </xf>
    <xf numFmtId="176" fontId="28" fillId="5" borderId="4" xfId="1" applyNumberFormat="1" applyFont="1" applyFill="1" applyBorder="1" applyAlignment="1">
      <alignment horizontal="center" vertical="center"/>
    </xf>
    <xf numFmtId="0" fontId="30" fillId="0" borderId="0" xfId="0" applyFont="1" applyAlignment="1">
      <alignment vertical="center"/>
    </xf>
    <xf numFmtId="0" fontId="31" fillId="0" borderId="0" xfId="0" applyFont="1" applyAlignment="1">
      <alignment vertical="center"/>
    </xf>
    <xf numFmtId="0" fontId="18" fillId="0" borderId="6" xfId="0" applyFont="1" applyBorder="1" applyAlignment="1">
      <alignment horizontal="center" vertical="center" wrapText="1"/>
    </xf>
    <xf numFmtId="0" fontId="17" fillId="0" borderId="7" xfId="0" applyFont="1" applyBorder="1" applyAlignment="1">
      <alignment horizontal="left" vertical="center"/>
    </xf>
    <xf numFmtId="0" fontId="29" fillId="0" borderId="0" xfId="0" applyFont="1"/>
    <xf numFmtId="0" fontId="29" fillId="0" borderId="11" xfId="0" applyFont="1" applyBorder="1"/>
    <xf numFmtId="176" fontId="28" fillId="5" borderId="15" xfId="1" applyNumberFormat="1" applyFont="1" applyFill="1" applyBorder="1" applyAlignment="1">
      <alignment horizontal="center" vertical="center"/>
    </xf>
    <xf numFmtId="41" fontId="28" fillId="5" borderId="15" xfId="2" applyNumberFormat="1" applyFont="1" applyFill="1" applyBorder="1" applyAlignment="1">
      <alignment horizontal="center" vertical="center"/>
    </xf>
    <xf numFmtId="9" fontId="28" fillId="5" borderId="15" xfId="2" applyNumberFormat="1" applyFont="1" applyFill="1" applyBorder="1" applyAlignment="1">
      <alignment horizontal="center" vertical="center"/>
    </xf>
    <xf numFmtId="0" fontId="33" fillId="6" borderId="14" xfId="7" quotePrefix="1" applyFont="1" applyFill="1" applyBorder="1" applyAlignment="1">
      <alignment horizontal="center" vertical="center" wrapText="1"/>
    </xf>
    <xf numFmtId="41" fontId="21" fillId="0" borderId="14" xfId="1" applyFont="1" applyFill="1" applyBorder="1" applyAlignment="1">
      <alignment horizontal="center" vertical="center"/>
    </xf>
    <xf numFmtId="9" fontId="21" fillId="0" borderId="14" xfId="2" quotePrefix="1" applyNumberFormat="1" applyFont="1" applyBorder="1" applyAlignment="1">
      <alignment horizontal="left" vertical="center" wrapText="1"/>
    </xf>
    <xf numFmtId="0" fontId="18" fillId="0" borderId="6" xfId="0" quotePrefix="1" applyFont="1" applyBorder="1" applyAlignment="1">
      <alignment horizontal="left" vertical="center" wrapText="1"/>
    </xf>
    <xf numFmtId="0" fontId="18" fillId="0" borderId="12" xfId="0" applyFont="1" applyBorder="1" applyAlignment="1">
      <alignment horizontal="left" vertical="center"/>
    </xf>
    <xf numFmtId="0" fontId="18" fillId="0" borderId="13" xfId="0" applyFont="1" applyBorder="1" applyAlignment="1">
      <alignment horizontal="left" vertical="center"/>
    </xf>
    <xf numFmtId="0" fontId="18" fillId="0" borderId="7" xfId="0" applyFont="1" applyBorder="1" applyAlignment="1">
      <alignment horizontal="left" vertical="center"/>
    </xf>
    <xf numFmtId="0" fontId="0" fillId="0" borderId="0" xfId="0"/>
    <xf numFmtId="0" fontId="0" fillId="0" borderId="11" xfId="0" applyBorder="1"/>
    <xf numFmtId="0" fontId="17" fillId="0" borderId="7" xfId="0" applyFont="1" applyBorder="1" applyAlignment="1">
      <alignment horizontal="left" vertical="center"/>
    </xf>
    <xf numFmtId="0" fontId="29" fillId="0" borderId="0" xfId="0" applyFont="1"/>
    <xf numFmtId="0" fontId="29" fillId="0" borderId="11" xfId="0" applyFont="1" applyBorder="1"/>
    <xf numFmtId="0" fontId="22" fillId="3" borderId="0" xfId="2" applyFont="1" applyFill="1" applyAlignment="1" applyProtection="1">
      <alignment horizontal="center" vertical="center"/>
      <protection locked="0"/>
    </xf>
    <xf numFmtId="0" fontId="21" fillId="4" borderId="6" xfId="2" applyFont="1" applyFill="1" applyBorder="1" applyAlignment="1">
      <alignment horizontal="center" vertical="center"/>
    </xf>
    <xf numFmtId="0" fontId="21" fillId="4" borderId="12" xfId="2" applyFont="1" applyFill="1" applyBorder="1" applyAlignment="1">
      <alignment horizontal="center" vertical="center"/>
    </xf>
    <xf numFmtId="0" fontId="21" fillId="4" borderId="13" xfId="2" applyFont="1" applyFill="1" applyBorder="1" applyAlignment="1">
      <alignment horizontal="center" vertical="center"/>
    </xf>
    <xf numFmtId="0" fontId="32" fillId="0" borderId="14" xfId="0" quotePrefix="1" applyFont="1" applyBorder="1" applyAlignment="1">
      <alignment horizontal="left" vertical="center" wrapText="1"/>
    </xf>
    <xf numFmtId="0" fontId="32" fillId="0" borderId="14" xfId="0" applyFont="1" applyBorder="1" applyAlignment="1">
      <alignment horizontal="left" vertical="center" wrapText="1"/>
    </xf>
    <xf numFmtId="0" fontId="18" fillId="0" borderId="8" xfId="0" applyFont="1" applyBorder="1" applyAlignment="1">
      <alignment horizontal="left" vertical="center"/>
    </xf>
    <xf numFmtId="0" fontId="18" fillId="0" borderId="9" xfId="0" applyFont="1" applyBorder="1" applyAlignment="1">
      <alignment horizontal="left" vertical="center"/>
    </xf>
    <xf numFmtId="0" fontId="18" fillId="0" borderId="10" xfId="0" applyFont="1" applyBorder="1" applyAlignment="1">
      <alignment horizontal="left" vertical="center"/>
    </xf>
    <xf numFmtId="0" fontId="18" fillId="0" borderId="6" xfId="0" applyFont="1" applyBorder="1" applyAlignment="1">
      <alignment horizontal="left" vertical="center"/>
    </xf>
    <xf numFmtId="0" fontId="28" fillId="5" borderId="16" xfId="0" applyFont="1" applyFill="1" applyBorder="1" applyAlignment="1">
      <alignment horizontal="center" vertical="center"/>
    </xf>
    <xf numFmtId="0" fontId="28" fillId="5" borderId="17" xfId="0" applyFont="1" applyFill="1" applyBorder="1" applyAlignment="1">
      <alignment horizontal="center" vertical="center"/>
    </xf>
    <xf numFmtId="0" fontId="28" fillId="5" borderId="18" xfId="0" applyFont="1" applyFill="1" applyBorder="1" applyAlignment="1">
      <alignment horizontal="center" vertical="center"/>
    </xf>
    <xf numFmtId="0" fontId="28" fillId="5" borderId="1" xfId="0" applyFont="1" applyFill="1" applyBorder="1" applyAlignment="1">
      <alignment horizontal="center" vertical="center"/>
    </xf>
    <xf numFmtId="0" fontId="28" fillId="5" borderId="2" xfId="0" applyFont="1" applyFill="1" applyBorder="1" applyAlignment="1">
      <alignment horizontal="center" vertical="center"/>
    </xf>
    <xf numFmtId="0" fontId="28" fillId="5" borderId="3" xfId="0" applyFont="1" applyFill="1" applyBorder="1" applyAlignment="1">
      <alignment horizontal="center" vertical="center"/>
    </xf>
  </cellXfs>
  <cellStyles count="20">
    <cellStyle name="쉼표 [0]" xfId="1" builtinId="6"/>
    <cellStyle name="쉼표 [0] 2" xfId="13" xr:uid="{00000000-0005-0000-0000-000001000000}"/>
    <cellStyle name="스타일 1" xfId="7" xr:uid="{00000000-0005-0000-0000-000002000000}"/>
    <cellStyle name="표준" xfId="0" builtinId="0"/>
    <cellStyle name="표준 2" xfId="3" xr:uid="{00000000-0005-0000-0000-000004000000}"/>
    <cellStyle name="표준 2 2" xfId="6" xr:uid="{00000000-0005-0000-0000-000005000000}"/>
    <cellStyle name="표준 3" xfId="4" xr:uid="{00000000-0005-0000-0000-000006000000}"/>
    <cellStyle name="표준 3 2" xfId="14" xr:uid="{00000000-0005-0000-0000-000007000000}"/>
    <cellStyle name="표준 4" xfId="5" xr:uid="{00000000-0005-0000-0000-000008000000}"/>
    <cellStyle name="표준 5" xfId="8" xr:uid="{00000000-0005-0000-0000-000009000000}"/>
    <cellStyle name="표준 5 2" xfId="15" xr:uid="{00000000-0005-0000-0000-00000A000000}"/>
    <cellStyle name="표준 6" xfId="9" xr:uid="{00000000-0005-0000-0000-00000B000000}"/>
    <cellStyle name="표준 6 2" xfId="16" xr:uid="{00000000-0005-0000-0000-00000C000000}"/>
    <cellStyle name="표준 7" xfId="10" xr:uid="{00000000-0005-0000-0000-00000D000000}"/>
    <cellStyle name="표준 7 2" xfId="17" xr:uid="{00000000-0005-0000-0000-00000E000000}"/>
    <cellStyle name="표준 8" xfId="11" xr:uid="{00000000-0005-0000-0000-00000F000000}"/>
    <cellStyle name="표준 8 2" xfId="18" xr:uid="{00000000-0005-0000-0000-000010000000}"/>
    <cellStyle name="표준 9" xfId="12" xr:uid="{00000000-0005-0000-0000-000011000000}"/>
    <cellStyle name="표준 9 2" xfId="19" xr:uid="{00000000-0005-0000-0000-000012000000}"/>
    <cellStyle name="표준_제출용" xfId="2" xr:uid="{00000000-0005-0000-0000-000013000000}"/>
  </cellStyles>
  <dxfs count="0"/>
  <tableStyles count="0" defaultTableStyle="TableStyleMedium9" defaultPivotStyle="PivotStyleLight16"/>
  <colors>
    <mruColors>
      <color rgb="FF008A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8"/>
  <sheetViews>
    <sheetView showGridLines="0" tabSelected="1" zoomScale="110" zoomScaleNormal="110" workbookViewId="0">
      <selection activeCell="I11" sqref="I11"/>
    </sheetView>
  </sheetViews>
  <sheetFormatPr defaultColWidth="8.8984375" defaultRowHeight="14.4"/>
  <cols>
    <col min="1" max="1" width="10.69921875" style="1" customWidth="1"/>
    <col min="2" max="2" width="10.59765625" style="1" customWidth="1"/>
    <col min="3" max="3" width="23.59765625" style="1" customWidth="1"/>
    <col min="4" max="4" width="2.296875" style="1" customWidth="1"/>
    <col min="5" max="5" width="5.296875" style="1" customWidth="1"/>
    <col min="6" max="6" width="9" style="1" customWidth="1"/>
    <col min="7" max="7" width="8.8984375" style="1" customWidth="1"/>
    <col min="8" max="8" width="11.59765625" style="1" customWidth="1"/>
    <col min="9" max="9" width="42.8984375" style="1" customWidth="1"/>
    <col min="10" max="10" width="10.69921875" style="1" bestFit="1" customWidth="1"/>
    <col min="11" max="16384" width="8.8984375" style="1"/>
  </cols>
  <sheetData>
    <row r="1" spans="1:10" s="2" customFormat="1" ht="29.25" customHeight="1">
      <c r="A1" s="65" t="s">
        <v>33</v>
      </c>
      <c r="B1" s="65"/>
      <c r="C1" s="65"/>
      <c r="D1" s="65"/>
      <c r="E1" s="65"/>
      <c r="F1" s="65"/>
      <c r="G1" s="65"/>
      <c r="H1" s="65"/>
      <c r="I1" s="65"/>
    </row>
    <row r="2" spans="1:10" s="2" customFormat="1" ht="16.5" customHeight="1">
      <c r="A2" s="6"/>
      <c r="B2" s="7"/>
      <c r="C2" s="7"/>
      <c r="D2" s="7"/>
      <c r="E2" s="8"/>
      <c r="F2" s="8"/>
      <c r="G2" s="8"/>
      <c r="H2" s="8"/>
      <c r="I2" s="8"/>
    </row>
    <row r="3" spans="1:10" s="3" customFormat="1" ht="20.100000000000001" customHeight="1">
      <c r="A3" s="19" t="s">
        <v>32</v>
      </c>
      <c r="B3" s="21" t="s">
        <v>38</v>
      </c>
      <c r="C3" s="20"/>
      <c r="D3" s="26"/>
      <c r="E3" s="32" t="s">
        <v>31</v>
      </c>
      <c r="F3" s="33"/>
      <c r="G3" s="33"/>
      <c r="H3" s="33"/>
      <c r="I3" s="34"/>
    </row>
    <row r="4" spans="1:10" s="3" customFormat="1" ht="20.100000000000001" customHeight="1">
      <c r="A4" s="19" t="s">
        <v>30</v>
      </c>
      <c r="B4" s="21" t="s">
        <v>39</v>
      </c>
      <c r="C4" s="20"/>
      <c r="D4" s="26"/>
      <c r="E4" s="35" t="s">
        <v>29</v>
      </c>
      <c r="F4" s="10"/>
      <c r="G4" s="10"/>
      <c r="H4" s="10"/>
      <c r="I4" s="36"/>
    </row>
    <row r="5" spans="1:10" s="3" customFormat="1" ht="20.100000000000001" customHeight="1">
      <c r="A5" s="19" t="s">
        <v>28</v>
      </c>
      <c r="B5" s="21" t="s">
        <v>43</v>
      </c>
      <c r="C5" s="20"/>
      <c r="D5" s="26"/>
      <c r="E5" s="39" t="s">
        <v>27</v>
      </c>
      <c r="F5" s="10"/>
      <c r="G5" s="10"/>
      <c r="H5" s="10"/>
      <c r="I5" s="36"/>
    </row>
    <row r="6" spans="1:10" s="3" customFormat="1" ht="20.100000000000001" customHeight="1">
      <c r="A6" s="19" t="s">
        <v>26</v>
      </c>
      <c r="B6" s="21" t="s">
        <v>36</v>
      </c>
      <c r="C6" s="20"/>
      <c r="D6" s="26"/>
      <c r="E6" s="40" t="s">
        <v>25</v>
      </c>
      <c r="F6" s="37"/>
      <c r="G6" s="37"/>
      <c r="H6" s="37"/>
      <c r="I6" s="38"/>
    </row>
    <row r="7" spans="1:10" s="3" customFormat="1" ht="13.5" customHeight="1">
      <c r="A7" s="11"/>
      <c r="B7" s="12"/>
      <c r="C7" s="13"/>
      <c r="D7" s="13"/>
      <c r="E7" s="11"/>
      <c r="F7" s="11"/>
      <c r="G7" s="11"/>
      <c r="H7" s="10"/>
      <c r="I7" s="10"/>
    </row>
    <row r="8" spans="1:10" s="3" customFormat="1" ht="19.5" customHeight="1">
      <c r="A8" s="22" t="s">
        <v>24</v>
      </c>
      <c r="B8" s="14" t="s">
        <v>44</v>
      </c>
      <c r="C8" s="15"/>
      <c r="D8" s="15"/>
      <c r="E8" s="15"/>
      <c r="F8" s="15"/>
      <c r="G8" s="15"/>
      <c r="H8" s="15"/>
      <c r="I8" s="16"/>
    </row>
    <row r="9" spans="1:10" s="3" customFormat="1" ht="20.100000000000001" customHeight="1">
      <c r="A9" s="23" t="s">
        <v>23</v>
      </c>
      <c r="B9" s="14" t="str">
        <f>TEXT(H16," 일금[DBNum4][$-412]G/표준원정") &amp; " (" &amp; DOLLAR(H16) &amp; " 부가세포함)"</f>
        <v xml:space="preserve"> 일금일천일백만원정 (₩11,000,000 부가세포함)</v>
      </c>
      <c r="C9" s="15"/>
      <c r="D9" s="15"/>
      <c r="E9" s="15"/>
      <c r="F9" s="15"/>
      <c r="G9" s="15"/>
      <c r="H9" s="15"/>
      <c r="I9" s="16"/>
    </row>
    <row r="10" spans="1:10" s="4" customFormat="1" ht="14.25" customHeight="1">
      <c r="A10" s="27"/>
      <c r="B10" s="13"/>
      <c r="C10" s="13"/>
      <c r="D10" s="13"/>
      <c r="E10" s="9"/>
      <c r="F10" s="9"/>
      <c r="G10" s="9"/>
      <c r="H10" s="17"/>
      <c r="I10" s="18"/>
    </row>
    <row r="11" spans="1:10" s="4" customFormat="1" ht="20.25" customHeight="1">
      <c r="A11" s="27" t="s">
        <v>22</v>
      </c>
      <c r="B11" s="13"/>
      <c r="C11" s="13"/>
      <c r="D11" s="13"/>
      <c r="E11" s="9"/>
      <c r="F11" s="9"/>
      <c r="G11" s="9"/>
      <c r="H11" s="17"/>
      <c r="I11" s="18" t="s">
        <v>46</v>
      </c>
    </row>
    <row r="12" spans="1:10" s="5" customFormat="1" ht="27.75" customHeight="1">
      <c r="A12" s="24" t="s">
        <v>21</v>
      </c>
      <c r="B12" s="66" t="s">
        <v>20</v>
      </c>
      <c r="C12" s="67"/>
      <c r="D12" s="68"/>
      <c r="E12" s="25" t="s">
        <v>19</v>
      </c>
      <c r="F12" s="25" t="s">
        <v>18</v>
      </c>
      <c r="G12" s="25" t="s">
        <v>17</v>
      </c>
      <c r="H12" s="25" t="s">
        <v>16</v>
      </c>
      <c r="I12" s="25" t="s">
        <v>15</v>
      </c>
      <c r="J12" s="44"/>
    </row>
    <row r="13" spans="1:10" s="5" customFormat="1" ht="162.6" customHeight="1">
      <c r="A13" s="53" t="s">
        <v>34</v>
      </c>
      <c r="B13" s="69" t="s">
        <v>45</v>
      </c>
      <c r="C13" s="70"/>
      <c r="D13" s="70"/>
      <c r="E13" s="53">
        <v>20</v>
      </c>
      <c r="F13" s="54">
        <v>604342.82999999996</v>
      </c>
      <c r="G13" s="54">
        <v>500000</v>
      </c>
      <c r="H13" s="54">
        <f>SUM(E13:E13)*G13</f>
        <v>10000000</v>
      </c>
      <c r="I13" s="55" t="s">
        <v>40</v>
      </c>
      <c r="J13" s="31"/>
    </row>
    <row r="14" spans="1:10" s="5" customFormat="1" ht="24.75" customHeight="1">
      <c r="A14" s="75" t="s">
        <v>14</v>
      </c>
      <c r="B14" s="76"/>
      <c r="C14" s="76"/>
      <c r="D14" s="77"/>
      <c r="E14" s="50">
        <f>SUM(E13:E13)</f>
        <v>20</v>
      </c>
      <c r="F14" s="51"/>
      <c r="G14" s="51"/>
      <c r="H14" s="51">
        <f>SUM(H12:H13)</f>
        <v>10000000</v>
      </c>
      <c r="I14" s="52"/>
      <c r="J14" s="31"/>
    </row>
    <row r="15" spans="1:10" s="5" customFormat="1" ht="24.75" customHeight="1">
      <c r="A15" s="78" t="s">
        <v>41</v>
      </c>
      <c r="B15" s="79"/>
      <c r="C15" s="79"/>
      <c r="D15" s="80"/>
      <c r="E15" s="43"/>
      <c r="F15" s="41"/>
      <c r="G15" s="41"/>
      <c r="H15" s="41">
        <v>1000000</v>
      </c>
      <c r="I15" s="42"/>
      <c r="J15" s="31"/>
    </row>
    <row r="16" spans="1:10" s="5" customFormat="1" ht="24.75" customHeight="1">
      <c r="A16" s="78" t="s">
        <v>13</v>
      </c>
      <c r="B16" s="79"/>
      <c r="C16" s="79"/>
      <c r="D16" s="80"/>
      <c r="E16" s="43">
        <f>E14</f>
        <v>20</v>
      </c>
      <c r="F16" s="41"/>
      <c r="G16" s="41"/>
      <c r="H16" s="41">
        <f>H14+H15</f>
        <v>11000000</v>
      </c>
      <c r="I16" s="42" t="s">
        <v>42</v>
      </c>
      <c r="J16" s="31"/>
    </row>
    <row r="17" spans="1:10" s="4" customFormat="1" ht="14.25" customHeight="1">
      <c r="A17" s="27"/>
      <c r="B17" s="13"/>
      <c r="C17" s="13"/>
      <c r="D17" s="13"/>
      <c r="E17" s="9"/>
      <c r="F17" s="9"/>
      <c r="G17" s="9"/>
      <c r="H17" s="17"/>
      <c r="I17" s="18"/>
    </row>
    <row r="18" spans="1:10" s="3" customFormat="1" ht="64.5" customHeight="1">
      <c r="A18" s="46" t="s">
        <v>12</v>
      </c>
      <c r="B18" s="56" t="s">
        <v>35</v>
      </c>
      <c r="C18" s="57"/>
      <c r="D18" s="57"/>
      <c r="E18" s="57"/>
      <c r="F18" s="57"/>
      <c r="G18" s="57"/>
      <c r="H18" s="57"/>
      <c r="I18" s="58"/>
      <c r="J18" s="45"/>
    </row>
    <row r="19" spans="1:10" s="3" customFormat="1" ht="17.100000000000001" customHeight="1">
      <c r="A19" s="28"/>
      <c r="B19" s="74" t="s">
        <v>37</v>
      </c>
      <c r="C19" s="57"/>
      <c r="D19" s="57"/>
      <c r="E19" s="57"/>
      <c r="F19" s="57"/>
      <c r="G19" s="57"/>
      <c r="H19" s="57"/>
      <c r="I19" s="58"/>
    </row>
    <row r="20" spans="1:10" s="3" customFormat="1" ht="17.100000000000001" customHeight="1">
      <c r="A20" s="29" t="s">
        <v>11</v>
      </c>
      <c r="B20" s="59" t="s">
        <v>10</v>
      </c>
      <c r="C20" s="60"/>
      <c r="D20" s="60"/>
      <c r="E20" s="60"/>
      <c r="F20" s="60"/>
      <c r="G20" s="60"/>
      <c r="H20" s="60"/>
      <c r="I20" s="61"/>
    </row>
    <row r="21" spans="1:10" s="3" customFormat="1" ht="17.100000000000001" customHeight="1">
      <c r="A21" s="29"/>
      <c r="B21" s="59" t="s">
        <v>9</v>
      </c>
      <c r="C21" s="60"/>
      <c r="D21" s="60"/>
      <c r="E21" s="60"/>
      <c r="F21" s="60"/>
      <c r="G21" s="60"/>
      <c r="H21" s="60"/>
      <c r="I21" s="61"/>
    </row>
    <row r="22" spans="1:10" s="3" customFormat="1" ht="17.100000000000001" customHeight="1">
      <c r="A22" s="29"/>
      <c r="B22" s="62" t="s">
        <v>8</v>
      </c>
      <c r="C22" s="63"/>
      <c r="D22" s="63"/>
      <c r="E22" s="63"/>
      <c r="F22" s="63"/>
      <c r="G22" s="63"/>
      <c r="H22" s="63"/>
      <c r="I22" s="64"/>
    </row>
    <row r="23" spans="1:10" s="3" customFormat="1" ht="17.100000000000001" customHeight="1">
      <c r="A23" s="29"/>
      <c r="B23" s="59" t="s">
        <v>7</v>
      </c>
      <c r="C23" s="60"/>
      <c r="D23" s="60"/>
      <c r="E23" s="60"/>
      <c r="F23" s="60"/>
      <c r="G23" s="60"/>
      <c r="H23" s="60"/>
      <c r="I23" s="61"/>
    </row>
    <row r="24" spans="1:10" s="3" customFormat="1" ht="17.100000000000001" customHeight="1">
      <c r="A24" s="29"/>
      <c r="B24" s="62" t="s">
        <v>6</v>
      </c>
      <c r="C24" s="63"/>
      <c r="D24" s="63"/>
      <c r="E24" s="63"/>
      <c r="F24" s="63"/>
      <c r="G24" s="63"/>
      <c r="H24" s="63"/>
      <c r="I24" s="64"/>
    </row>
    <row r="25" spans="1:10" s="3" customFormat="1" ht="17.100000000000001" customHeight="1">
      <c r="A25" s="29"/>
      <c r="B25" s="62" t="s">
        <v>5</v>
      </c>
      <c r="C25" s="63"/>
      <c r="D25" s="63"/>
      <c r="E25" s="63"/>
      <c r="F25" s="63"/>
      <c r="G25" s="63"/>
      <c r="H25" s="63"/>
      <c r="I25" s="64"/>
    </row>
    <row r="26" spans="1:10" s="3" customFormat="1" ht="17.100000000000001" customHeight="1">
      <c r="A26" s="29"/>
      <c r="B26" s="47" t="s">
        <v>4</v>
      </c>
      <c r="C26" s="48"/>
      <c r="D26" s="48"/>
      <c r="E26" s="48"/>
      <c r="F26" s="48"/>
      <c r="G26" s="48"/>
      <c r="H26" s="48"/>
      <c r="I26" s="49"/>
    </row>
    <row r="27" spans="1:10" s="3" customFormat="1" ht="17.100000000000001" customHeight="1">
      <c r="A27" s="29"/>
      <c r="B27" s="59" t="s">
        <v>3</v>
      </c>
      <c r="C27" s="60"/>
      <c r="D27" s="60"/>
      <c r="E27" s="60"/>
      <c r="F27" s="60"/>
      <c r="G27" s="60"/>
      <c r="H27" s="60"/>
      <c r="I27" s="61"/>
    </row>
    <row r="28" spans="1:10" s="3" customFormat="1" ht="17.100000000000001" customHeight="1">
      <c r="A28" s="29"/>
      <c r="B28" s="59" t="s">
        <v>2</v>
      </c>
      <c r="C28" s="60"/>
      <c r="D28" s="60"/>
      <c r="E28" s="60"/>
      <c r="F28" s="60"/>
      <c r="G28" s="60"/>
      <c r="H28" s="60"/>
      <c r="I28" s="61"/>
    </row>
    <row r="29" spans="1:10" s="3" customFormat="1" ht="17.100000000000001" customHeight="1">
      <c r="A29" s="29"/>
      <c r="B29" s="59" t="s">
        <v>1</v>
      </c>
      <c r="C29" s="60"/>
      <c r="D29" s="60"/>
      <c r="E29" s="60"/>
      <c r="F29" s="60"/>
      <c r="G29" s="60"/>
      <c r="H29" s="60"/>
      <c r="I29" s="61"/>
    </row>
    <row r="30" spans="1:10" s="3" customFormat="1" ht="17.100000000000001" customHeight="1">
      <c r="A30" s="29"/>
      <c r="B30" s="59" t="s">
        <v>0</v>
      </c>
      <c r="C30" s="60"/>
      <c r="D30" s="60"/>
      <c r="E30" s="60"/>
      <c r="F30" s="60"/>
      <c r="G30" s="60"/>
      <c r="H30" s="60"/>
      <c r="I30" s="61"/>
    </row>
    <row r="31" spans="1:10" s="3" customFormat="1" ht="17.100000000000001" customHeight="1">
      <c r="A31" s="30"/>
      <c r="B31" s="71"/>
      <c r="C31" s="72"/>
      <c r="D31" s="72"/>
      <c r="E31" s="72"/>
      <c r="F31" s="72"/>
      <c r="G31" s="72"/>
      <c r="H31" s="72"/>
      <c r="I31" s="73"/>
    </row>
    <row r="32" spans="1:10" customFormat="1" ht="15.9" customHeight="1"/>
    <row r="33" s="2" customFormat="1"/>
    <row r="34" s="2" customFormat="1"/>
    <row r="35" s="2" customFormat="1"/>
    <row r="36" s="2" customFormat="1"/>
    <row r="37" s="2" customFormat="1"/>
    <row r="38" s="2" customFormat="1"/>
  </sheetData>
  <mergeCells count="19">
    <mergeCell ref="B31:I31"/>
    <mergeCell ref="B19:I19"/>
    <mergeCell ref="B20:I20"/>
    <mergeCell ref="A14:D14"/>
    <mergeCell ref="B30:I30"/>
    <mergeCell ref="B22:I22"/>
    <mergeCell ref="B29:I29"/>
    <mergeCell ref="A15:D15"/>
    <mergeCell ref="B23:I23"/>
    <mergeCell ref="B28:I28"/>
    <mergeCell ref="B24:I24"/>
    <mergeCell ref="B27:I27"/>
    <mergeCell ref="A16:D16"/>
    <mergeCell ref="B18:I18"/>
    <mergeCell ref="B21:I21"/>
    <mergeCell ref="B25:I25"/>
    <mergeCell ref="A1:I1"/>
    <mergeCell ref="B12:D12"/>
    <mergeCell ref="B13:D13"/>
  </mergeCells>
  <phoneticPr fontId="34" type="noConversion"/>
  <dataValidations count="1">
    <dataValidation allowBlank="1" showInputMessage="1" showErrorMessage="1" promptTitle="견적금액 표시" prompt="공급금액 합계(VAT별도)를 견적금액(VAT별도) 한글로 자동변환 표시" sqref="B8:H9" xr:uid="{00000000-0002-0000-0000-000000000000}"/>
  </dataValidations>
  <pageMargins left="0.31496062992125984" right="0.23622047244094491" top="0.33" bottom="0.25" header="0.26" footer="0.17"/>
  <pageSetup paperSize="9" scale="86"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견적서</vt:lpstr>
    </vt:vector>
  </TitlesOfParts>
  <Company>비즈웰</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bizwell</cp:lastModifiedBy>
  <cp:lastPrinted>2020-09-10T23:14:44Z</cp:lastPrinted>
  <dcterms:created xsi:type="dcterms:W3CDTF">2001-05-22T00:47:40Z</dcterms:created>
  <dcterms:modified xsi:type="dcterms:W3CDTF">2024-09-30T03:01:10Z</dcterms:modified>
</cp:coreProperties>
</file>