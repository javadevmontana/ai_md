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ZWELL업무\고객지원팀\01.고객_견적_계약\01.고객_유지보수_계약서확약서합의서\09_호텔골프_외식_미용_의료덴탈_헬스케어_사료\한국콜마_헬스케어\유지보수견적(19년부터)\"/>
    </mc:Choice>
  </mc:AlternateContent>
  <bookViews>
    <workbookView xWindow="-36" yWindow="660" windowWidth="14160" windowHeight="8040" activeTab="2"/>
  </bookViews>
  <sheets>
    <sheet name="견적서(이노엔)" sheetId="6" r:id="rId1"/>
    <sheet name="견적서(콜마)" sheetId="16" r:id="rId2"/>
    <sheet name="그룹웨어유지보수내역" sheetId="14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2" hidden="1">#REF!</definedName>
    <definedName name="_Fill" hidden="1">#REF!</definedName>
    <definedName name="APOS_Labor_Parts" localSheetId="1">#REF!</definedName>
    <definedName name="APOS_Labor_Parts" localSheetId="2">#REF!</definedName>
    <definedName name="APOS_Labor_Parts">#REF!</definedName>
    <definedName name="centerlist">[1]Centers!$E$2:$E$179</definedName>
    <definedName name="DATA">[2]BB!$A$2:$P$199</definedName>
    <definedName name="list" localSheetId="1">#REF!</definedName>
    <definedName name="list" localSheetId="2">#REF!</definedName>
    <definedName name="list">#REF!</definedName>
    <definedName name="qryzFleet" localSheetId="1">#REF!</definedName>
    <definedName name="qryzFleet" localSheetId="2">#REF!</definedName>
    <definedName name="qryzFleet">#REF!</definedName>
  </definedNames>
  <calcPr calcId="152511"/>
</workbook>
</file>

<file path=xl/calcChain.xml><?xml version="1.0" encoding="utf-8"?>
<calcChain xmlns="http://schemas.openxmlformats.org/spreadsheetml/2006/main">
  <c r="G14" i="16" l="1"/>
  <c r="H14" i="16" s="1"/>
  <c r="E23" i="16"/>
  <c r="G23" i="16" s="1"/>
  <c r="H23" i="16" s="1"/>
  <c r="E20" i="16"/>
  <c r="G20" i="16" s="1"/>
  <c r="H20" i="16" s="1"/>
  <c r="G24" i="16" l="1"/>
  <c r="G28" i="16" l="1"/>
  <c r="G31" i="16" s="1"/>
  <c r="H31" i="16" s="1"/>
  <c r="H24" i="16"/>
  <c r="E23" i="6"/>
  <c r="E20" i="6"/>
  <c r="H28" i="16" l="1"/>
  <c r="G28" i="6" l="1"/>
  <c r="H28" i="6" s="1"/>
  <c r="B11" i="16" l="1"/>
  <c r="G31" i="6"/>
  <c r="H31" i="6" s="1"/>
  <c r="H23" i="6" l="1"/>
  <c r="G20" i="6"/>
  <c r="H19" i="6" l="1"/>
  <c r="G18" i="6"/>
  <c r="H18" i="6" s="1"/>
  <c r="G14" i="6" l="1"/>
  <c r="G24" i="6" s="1"/>
  <c r="H14" i="6" l="1"/>
  <c r="H20" i="6"/>
  <c r="H24" i="6" l="1"/>
  <c r="B11" i="6"/>
</calcChain>
</file>

<file path=xl/sharedStrings.xml><?xml version="1.0" encoding="utf-8"?>
<sst xmlns="http://schemas.openxmlformats.org/spreadsheetml/2006/main" count="277" uniqueCount="153">
  <si>
    <t xml:space="preserve">견적 금액 </t>
    <phoneticPr fontId="3" type="noConversion"/>
  </si>
  <si>
    <t>(단위:원, 부가세별도)</t>
    <phoneticPr fontId="3" type="noConversion"/>
  </si>
  <si>
    <t xml:space="preserve"> 아래와 같이 견적합니다.</t>
    <phoneticPr fontId="3" type="noConversion"/>
  </si>
  <si>
    <t>견   적   서</t>
    <phoneticPr fontId="5" type="noConversion"/>
  </si>
  <si>
    <t>견적 번호</t>
    <phoneticPr fontId="3" type="noConversion"/>
  </si>
  <si>
    <t>제  출  처</t>
    <phoneticPr fontId="3" type="noConversion"/>
  </si>
  <si>
    <t>견적 일자</t>
    <phoneticPr fontId="3" type="noConversion"/>
  </si>
  <si>
    <t>유효 기간</t>
    <phoneticPr fontId="3" type="noConversion"/>
  </si>
  <si>
    <t>견  적  명</t>
    <phoneticPr fontId="3" type="noConversion"/>
  </si>
  <si>
    <t>- WEB Server 로그, 환경설정 파일</t>
  </si>
  <si>
    <t xml:space="preserve"> 주식회사  비 즈 웰</t>
    <phoneticPr fontId="3" type="noConversion"/>
  </si>
  <si>
    <t xml:space="preserve"> 경기 안양시 동안구 학의로 282 금강펜테리움IT타워 B-1915</t>
    <phoneticPr fontId="3" type="noConversion"/>
  </si>
  <si>
    <t xml:space="preserve"> ☎  (031) 425-5820   F)031-450-5821</t>
    <phoneticPr fontId="3" type="noConversion"/>
  </si>
  <si>
    <t>견적 기간</t>
    <phoneticPr fontId="3" type="noConversion"/>
  </si>
  <si>
    <t>항  목</t>
    <phoneticPr fontId="3" type="noConversion"/>
  </si>
  <si>
    <t>기본 제공 시간 이외의  토/일, 공휴일 지원 시 별도 협의</t>
    <phoneticPr fontId="3" type="noConversion"/>
  </si>
  <si>
    <t>그룹웨어 서버
기본 점검</t>
    <phoneticPr fontId="3" type="noConversion"/>
  </si>
  <si>
    <t>- 그룹웨어 Application Log점검
  (에러 및 사용자현황 로그)</t>
    <phoneticPr fontId="3" type="noConversion"/>
  </si>
  <si>
    <t>- 운영소스 최종본 Sync 관리 
  : 단, 고객에게 이관된 소스코드 제외</t>
    <phoneticPr fontId="3" type="noConversion"/>
  </si>
  <si>
    <t>변경 시</t>
    <phoneticPr fontId="3" type="noConversion"/>
  </si>
  <si>
    <t>웹메일</t>
    <phoneticPr fontId="3" type="noConversion"/>
  </si>
  <si>
    <t>메일아카이빙</t>
  </si>
  <si>
    <t>지원 범위</t>
    <phoneticPr fontId="3" type="noConversion"/>
  </si>
  <si>
    <t xml:space="preserve"> 1. "그룹웨어 유지보수 내역"은 별도 첨부합니다.</t>
    <phoneticPr fontId="3" type="noConversion"/>
  </si>
  <si>
    <t xml:space="preserve"> 2. 지원범위 제외 내역</t>
    <phoneticPr fontId="3" type="noConversion"/>
  </si>
  <si>
    <t xml:space="preserve">    1) 고객 운영서버의 백업 관련 제반 작업은 고객사에서 수행 및 관리합니다.</t>
    <phoneticPr fontId="3" type="noConversion"/>
  </si>
  <si>
    <t xml:space="preserve">    2) 데이터베이스, H/W유지보수는 본 유지보수 범위에서 제외됩니다.</t>
    <phoneticPr fontId="3" type="noConversion"/>
  </si>
  <si>
    <t xml:space="preserve">    4) 납품된 시스템에 대한 형상 변경 요건은 커스터마이징 범위 내에서 지원 가능합니다.</t>
    <phoneticPr fontId="3" type="noConversion"/>
  </si>
  <si>
    <t xml:space="preserve">       - ex) 사용자 불편기능 개선 및 편의성 향상을 위한 수정/개발, 업무 프로세스 변경 건 등 </t>
    <phoneticPr fontId="3" type="noConversion"/>
  </si>
  <si>
    <t>참  조</t>
    <phoneticPr fontId="3" type="noConversion"/>
  </si>
  <si>
    <t>문  의</t>
    <phoneticPr fontId="3" type="noConversion"/>
  </si>
  <si>
    <t>구분</t>
    <phoneticPr fontId="3" type="noConversion"/>
  </si>
  <si>
    <t>항 목</t>
    <phoneticPr fontId="3" type="noConversion"/>
  </si>
  <si>
    <t>구 분</t>
    <phoneticPr fontId="3" type="noConversion"/>
  </si>
  <si>
    <t>내   용</t>
    <phoneticPr fontId="3" type="noConversion"/>
  </si>
  <si>
    <t>도입 금액</t>
    <phoneticPr fontId="3" type="noConversion"/>
  </si>
  <si>
    <t>년간 공급 금액</t>
    <phoneticPr fontId="3" type="noConversion"/>
  </si>
  <si>
    <t>월 공급 단가</t>
    <phoneticPr fontId="3" type="noConversion"/>
  </si>
  <si>
    <t>비고</t>
    <phoneticPr fontId="3" type="noConversion"/>
  </si>
  <si>
    <t>그룹웨어
솔루션</t>
    <phoneticPr fontId="3" type="noConversion"/>
  </si>
  <si>
    <t xml:space="preserve"> 3. 그룹웨어 기능변경 및 추가개발은 별도 견적/발주서 수령 후 작업 진행</t>
    <phoneticPr fontId="3" type="noConversion"/>
  </si>
  <si>
    <t xml:space="preserve">    - 요청 대상 내역 : 추가개발, 기능개선, 수정 등</t>
    <phoneticPr fontId="3" type="noConversion"/>
  </si>
  <si>
    <t xml:space="preserve">    - 발생 비용 : 50만원/일 (부가세별도)</t>
    <phoneticPr fontId="3" type="noConversion"/>
  </si>
  <si>
    <t xml:space="preserve"> 운영지원부문  김형준이사 (kimhj@bizwell.net)  /  070-4616-5049  /  010-6565-9047   </t>
    <phoneticPr fontId="3" type="noConversion"/>
  </si>
  <si>
    <t>연계SW</t>
    <phoneticPr fontId="3" type="noConversion"/>
  </si>
  <si>
    <t>년간
요율</t>
    <phoneticPr fontId="3" type="noConversion"/>
  </si>
  <si>
    <t xml:space="preserve"> 2. 차년도 유지보수 계약 갱신 시에는 물가상승율을 반영합니다. (상호협의 결정)</t>
    <phoneticPr fontId="3" type="noConversion"/>
  </si>
  <si>
    <t>메신저</t>
    <phoneticPr fontId="3" type="noConversion"/>
  </si>
  <si>
    <t>메일</t>
    <phoneticPr fontId="3" type="noConversion"/>
  </si>
  <si>
    <t>문서변환/뷰어</t>
    <phoneticPr fontId="3" type="noConversion"/>
  </si>
  <si>
    <t xml:space="preserve">    3) 그룹웨어 서버 기본점검은 HW, OS관리가 아닌 현황 점검입니다.</t>
    <phoneticPr fontId="3" type="noConversion"/>
  </si>
  <si>
    <t xml:space="preserve">        ※ WAS Engine영역은 범위에서 제외됩니다. (WAS서버(Resin) 유지보수 비용은 별도)</t>
    <phoneticPr fontId="3" type="noConversion"/>
  </si>
  <si>
    <t xml:space="preserve">      - AS-IS(무상기간) : 각사 반영 → 비즈웰 일괄반영(현재)</t>
    <phoneticPr fontId="3" type="noConversion"/>
  </si>
  <si>
    <t xml:space="preserve">      - TO-BE(유상전환) : 비즈웰 일괄반영(현재) → 콜마 일괄반영(향후)</t>
    <phoneticPr fontId="3" type="noConversion"/>
  </si>
  <si>
    <t xml:space="preserve">   2) 소스코드 Level까지 관리하는 배포요청서 작성/제공 → 유지</t>
    <phoneticPr fontId="3" type="noConversion"/>
  </si>
  <si>
    <t xml:space="preserve">    (한국콜마/헬스케어 지원에 중급 담당자의 평균투입공수가 60%이상 발생)</t>
    <phoneticPr fontId="3" type="noConversion"/>
  </si>
  <si>
    <t xml:space="preserve"> 2. 소스코드 형상변경 관련하여 많은 시간과 노력 투입으로 업무지원 한계 발생 → 지원범위 변경</t>
    <phoneticPr fontId="3" type="noConversion"/>
  </si>
  <si>
    <t>서비스</t>
    <phoneticPr fontId="3" type="noConversion"/>
  </si>
  <si>
    <t>조정내역</t>
    <phoneticPr fontId="3" type="noConversion"/>
  </si>
  <si>
    <t xml:space="preserve"> 1. 정기PM(예방점검) 작업 → 년간 2회 이내 지원</t>
    <phoneticPr fontId="3" type="noConversion"/>
  </si>
  <si>
    <t xml:space="preserve">    : 주말작업 지원 및 유선대기 업무는 지원범위에 포함되지 않음 (52시간 근무제로 업무지원에 한계)</t>
    <phoneticPr fontId="3" type="noConversion"/>
  </si>
  <si>
    <t xml:space="preserve">   1) 테스트/운영(이중화) 서버 배포 단일화 : 소스코드 반영/관리 (테스트 및 운영서버) 주체 변경</t>
    <phoneticPr fontId="3" type="noConversion"/>
  </si>
  <si>
    <t xml:space="preserve">   1) 비즈웰 지원범위는 그룹웨어/검색엔진으로 확인 부탁드립니다.</t>
    <phoneticPr fontId="3" type="noConversion"/>
  </si>
  <si>
    <t xml:space="preserve">   2) 메일/아카이빙/문서변환/메신저에 대한 작업지시 및 진행은 한국콜마에서 진행을 부탁드립니다.</t>
    <phoneticPr fontId="3" type="noConversion"/>
  </si>
  <si>
    <t>지원범위</t>
    <phoneticPr fontId="3" type="noConversion"/>
  </si>
  <si>
    <t>&amp;</t>
    <phoneticPr fontId="3" type="noConversion"/>
  </si>
  <si>
    <t xml:space="preserve"> 2. 개발/운영(이중화)서버 배포주기는 격주(1회/2주당)로 진행 합니다.</t>
    <phoneticPr fontId="3" type="noConversion"/>
  </si>
  <si>
    <t>그룹웨어</t>
    <phoneticPr fontId="3" type="noConversion"/>
  </si>
  <si>
    <t xml:space="preserve"> Server Module (xClick*GW)</t>
    <phoneticPr fontId="3" type="noConversion"/>
  </si>
  <si>
    <t>모바일</t>
    <phoneticPr fontId="3" type="noConversion"/>
  </si>
  <si>
    <t xml:space="preserve"> Server Module (xClick*Mobile)</t>
    <phoneticPr fontId="3" type="noConversion"/>
  </si>
  <si>
    <t xml:space="preserve"> Client Module</t>
    <phoneticPr fontId="3" type="noConversion"/>
  </si>
  <si>
    <t xml:space="preserve"> Postian*Mail</t>
    <phoneticPr fontId="3" type="noConversion"/>
  </si>
  <si>
    <t xml:space="preserve"> Dmvault</t>
    <phoneticPr fontId="3" type="noConversion"/>
  </si>
  <si>
    <t xml:space="preserve"> Client Module (UC Messenger)
 - 메신저 서버모듈(\15백만원) 제외</t>
    <phoneticPr fontId="3" type="noConversion"/>
  </si>
  <si>
    <t>그룹웨어</t>
    <phoneticPr fontId="3" type="noConversion"/>
  </si>
  <si>
    <t xml:space="preserve"> Server Module (xClick*GW 추가서버용)</t>
    <phoneticPr fontId="3" type="noConversion"/>
  </si>
  <si>
    <t xml:space="preserve"> Client Module (사용자추가 단가적용)</t>
    <phoneticPr fontId="3" type="noConversion"/>
  </si>
  <si>
    <t xml:space="preserve"> Postian*Mail</t>
    <phoneticPr fontId="3" type="noConversion"/>
  </si>
  <si>
    <t xml:space="preserve"> Dmvault</t>
    <phoneticPr fontId="3" type="noConversion"/>
  </si>
  <si>
    <t xml:space="preserve"> Client Module (UC Messenger)</t>
    <phoneticPr fontId="3" type="noConversion"/>
  </si>
  <si>
    <t xml:space="preserve"> 첨부파일 이미지변환&amp;뷰어 (모바일용)</t>
    <phoneticPr fontId="3" type="noConversion"/>
  </si>
  <si>
    <t>그룹웨어</t>
    <phoneticPr fontId="3" type="noConversion"/>
  </si>
  <si>
    <t>연계SW</t>
    <phoneticPr fontId="3" type="noConversion"/>
  </si>
  <si>
    <t xml:space="preserve"> Client Module</t>
    <phoneticPr fontId="3" type="noConversion"/>
  </si>
  <si>
    <t>* 첨부</t>
    <phoneticPr fontId="3" type="noConversion"/>
  </si>
  <si>
    <t>그룹웨어 유지보수 내역</t>
    <phoneticPr fontId="5" type="noConversion"/>
  </si>
  <si>
    <t>구 분</t>
    <phoneticPr fontId="3" type="noConversion"/>
  </si>
  <si>
    <t>세부 내역</t>
    <phoneticPr fontId="3" type="noConversion"/>
  </si>
  <si>
    <t>서비스
제공 시간</t>
    <phoneticPr fontId="3" type="noConversion"/>
  </si>
  <si>
    <t>비고</t>
    <phoneticPr fontId="3" type="noConversion"/>
  </si>
  <si>
    <t>기본 활동</t>
    <phoneticPr fontId="3" type="noConversion"/>
  </si>
  <si>
    <t>오류 해결</t>
    <phoneticPr fontId="3" type="noConversion"/>
  </si>
  <si>
    <t>- 범위 : 납품 Package 오류/장애 지원
- 접수 : CSR시스템 
- 처리 : 원격지원 기준</t>
    <phoneticPr fontId="3" type="noConversion"/>
  </si>
  <si>
    <t>기본 제공
시간
(월~금:
9시~18시)</t>
    <phoneticPr fontId="3" type="noConversion"/>
  </si>
  <si>
    <t>- 고객사담당자 1~2인의 요청
  : 다수 사용자지원 시 별도협의</t>
    <phoneticPr fontId="3" type="noConversion"/>
  </si>
  <si>
    <t>고객사
운영서버
점검
(Remote)
※ 메신저
별도</t>
    <phoneticPr fontId="3" type="noConversion"/>
  </si>
  <si>
    <t>- Memory, CPU, HDD 사용률
  1) HW, OS관리가 아닌 현황점검
  2) WAS Engine, DBMS, HW장비는 
     유지보수 범위에서 제외</t>
    <phoneticPr fontId="3" type="noConversion"/>
  </si>
  <si>
    <t>월 1회</t>
    <phoneticPr fontId="3" type="noConversion"/>
  </si>
  <si>
    <t>외부 접근가능 환경에서 점검내역을 Service Report로 제공
(담당자에게 메일 발송)</t>
    <phoneticPr fontId="3" type="noConversion"/>
  </si>
  <si>
    <t>기본 SW 점검</t>
    <phoneticPr fontId="3" type="noConversion"/>
  </si>
  <si>
    <t>그룹웨어
APP 점검</t>
    <phoneticPr fontId="3" type="noConversion"/>
  </si>
  <si>
    <t>- 주요기능 속도 및 동작 체크
  (메일/게시판/전자결재 등)</t>
    <phoneticPr fontId="3" type="noConversion"/>
  </si>
  <si>
    <t>패치본
배포방법</t>
    <phoneticPr fontId="3" type="noConversion"/>
  </si>
  <si>
    <t>소스배포</t>
    <phoneticPr fontId="3" type="noConversion"/>
  </si>
  <si>
    <t>[비즈웰] (서비스 재시작 수행)
- 솔루션 소스 수정 및 반영
- cef java소스 만 반영
[한국콜마] (서비스 재시작 수행 안함)
- cef web소스 수정 및 반영</t>
    <phoneticPr fontId="3" type="noConversion"/>
  </si>
  <si>
    <t>배포문서</t>
    <phoneticPr fontId="3" type="noConversion"/>
  </si>
  <si>
    <t>[비즈웰] (배포 내용, 메일 전달)
- CSR-ID, 제목, 파일명
[한국콜마] 배포문서 작성 (내부 보관용)</t>
    <phoneticPr fontId="3" type="noConversion"/>
  </si>
  <si>
    <t>정기PM</t>
    <phoneticPr fontId="3" type="noConversion"/>
  </si>
  <si>
    <t>지원범위</t>
    <phoneticPr fontId="3" type="noConversion"/>
  </si>
  <si>
    <t>[비즈웰] VGMP,통합검색
[한국콜마] 메일,아카이빙,메신서,문서변환</t>
    <phoneticPr fontId="3" type="noConversion"/>
  </si>
  <si>
    <t>개발 환경</t>
    <phoneticPr fontId="3" type="noConversion"/>
  </si>
  <si>
    <t>소스코드
유지관리</t>
    <phoneticPr fontId="3" type="noConversion"/>
  </si>
  <si>
    <t>당사 개발 서버</t>
    <phoneticPr fontId="3" type="noConversion"/>
  </si>
  <si>
    <t>제외 범위</t>
    <phoneticPr fontId="3" type="noConversion"/>
  </si>
  <si>
    <t>데이터이관</t>
    <phoneticPr fontId="3" type="noConversion"/>
  </si>
  <si>
    <t>- 타사 그룹웨어로 데이터이관 위한 VIEW QUERY제공 등 일련의 작업 제외</t>
    <phoneticPr fontId="3" type="noConversion"/>
  </si>
  <si>
    <t>-</t>
    <phoneticPr fontId="3" type="noConversion"/>
  </si>
  <si>
    <t xml:space="preserve">     2) 고객 운영서버의 백업 관련 제반 작업은 고객사에서 수행 및 관리합니다.</t>
    <phoneticPr fontId="3" type="noConversion"/>
  </si>
  <si>
    <t xml:space="preserve">     3) 데이터베이스, H/W유지보수는 본 유지보수 범위에서 제외합니다.</t>
    <phoneticPr fontId="3" type="noConversion"/>
  </si>
  <si>
    <t xml:space="preserve">     4) 유지보수는 ㈜비즈웰-본사에서 원격으로 수행합니다.</t>
    <phoneticPr fontId="3" type="noConversion"/>
  </si>
  <si>
    <t>유지보수 견적 금액</t>
    <phoneticPr fontId="3" type="noConversion"/>
  </si>
  <si>
    <t>라이선스
추가
(545 Users)</t>
    <phoneticPr fontId="3" type="noConversion"/>
  </si>
  <si>
    <t>라이선스 추가 분 유지보수 합계 (21년 2월 정산)</t>
    <phoneticPr fontId="3" type="noConversion"/>
  </si>
  <si>
    <t xml:space="preserve"> 대표이사  신 재 복    (직인생략)     </t>
    <phoneticPr fontId="3" type="noConversion"/>
  </si>
  <si>
    <t xml:space="preserve"> 23년 유지보수 대상 유예 (솔루션별 견적에도 제외)</t>
    <phoneticPr fontId="3" type="noConversion"/>
  </si>
  <si>
    <t xml:space="preserve"> 한국콜마홀딩스 귀중</t>
    <phoneticPr fontId="3" type="noConversion"/>
  </si>
  <si>
    <t xml:space="preserve"> ※ 20년 사용자 증가분 미반영 
   → 22년과 동일</t>
    <phoneticPr fontId="3" type="noConversion"/>
  </si>
  <si>
    <t xml:space="preserve"> 1. 유지보수 대금청구는 3개월 단위(3월말,6월말,9월말,12월말)로 하며, 청구 후 30일 내에 현금지급 기준입니다.</t>
    <phoneticPr fontId="3" type="noConversion"/>
  </si>
  <si>
    <t>기본 제공 : 연간 6일 이내</t>
    <phoneticPr fontId="3" type="noConversion"/>
  </si>
  <si>
    <t xml:space="preserve"> 2024-01-M14</t>
    <phoneticPr fontId="3" type="noConversion"/>
  </si>
  <si>
    <t xml:space="preserve"> 견적일로부터 2개월 이내</t>
    <phoneticPr fontId="3" type="noConversion"/>
  </si>
  <si>
    <t xml:space="preserve"> 2023. 11. 03</t>
    <phoneticPr fontId="3" type="noConversion"/>
  </si>
  <si>
    <t xml:space="preserve"> 2024년 01월 01일 ~ 2024년 12월 31일 (1년)</t>
    <phoneticPr fontId="3" type="noConversion"/>
  </si>
  <si>
    <t xml:space="preserve"> 그룹웨어시스템 유지보수 [이중화 및 내외부망분리(Proxy)]  /  사용자 1,700명 기준</t>
    <phoneticPr fontId="3" type="noConversion"/>
  </si>
  <si>
    <t>추가
라이선스
(100 Users)</t>
    <phoneticPr fontId="3" type="noConversion"/>
  </si>
  <si>
    <t>HK이노엔
구축
라이선스
(1,600 Users)</t>
    <phoneticPr fontId="3" type="noConversion"/>
  </si>
  <si>
    <t>한국콜마
구축
라이선스
(2,400 Users)</t>
    <phoneticPr fontId="3" type="noConversion"/>
  </si>
  <si>
    <t xml:space="preserve"> 에이치케이이노엔㈜ 귀중</t>
    <phoneticPr fontId="3" type="noConversion"/>
  </si>
  <si>
    <t>월별 금액</t>
    <phoneticPr fontId="3" type="noConversion"/>
  </si>
  <si>
    <t>공급 합계</t>
    <phoneticPr fontId="3" type="noConversion"/>
  </si>
  <si>
    <t>요율</t>
    <phoneticPr fontId="3" type="noConversion"/>
  </si>
  <si>
    <t xml:space="preserve"> ※ 지원범위
  - 원격 기준
  - 장애/오류 처리
  - 메신저 제외</t>
    <phoneticPr fontId="3" type="noConversion"/>
  </si>
  <si>
    <t xml:space="preserve"> ※ 19년 추가 분 250명</t>
    <phoneticPr fontId="3" type="noConversion"/>
  </si>
  <si>
    <t>추가
라이선스
(150 Users)</t>
    <phoneticPr fontId="3" type="noConversion"/>
  </si>
  <si>
    <t xml:space="preserve"> 그룹웨어시스템 유지보수 [이중화 및 내외부망분리(Proxy)]  /  이노엔 1,700명 제외</t>
    <phoneticPr fontId="3" type="noConversion"/>
  </si>
  <si>
    <t xml:space="preserve"> 2024년 01월 01일 ~ 2024년 03월 31일 (3개월)</t>
    <phoneticPr fontId="3" type="noConversion"/>
  </si>
  <si>
    <r>
      <t xml:space="preserve"> ※ 지원범위
  - 원격 기준
  - 장애/오류 처리
</t>
    </r>
    <r>
      <rPr>
        <sz val="9"/>
        <color rgb="FFFF0000"/>
        <rFont val="맑은 고딕"/>
        <family val="3"/>
        <charset val="129"/>
      </rPr>
      <t xml:space="preserve">  - 메신저 제외 ???</t>
    </r>
    <phoneticPr fontId="3" type="noConversion"/>
  </si>
  <si>
    <t>- 그룹웨어 기능 추가/변경</t>
    <phoneticPr fontId="3" type="noConversion"/>
  </si>
  <si>
    <t>주  1) 계약 범위에 커스터마이징 공수가 있을 경우 그룹웨어 기능 추가/변경은 
        연간 커스터마이징 공수 內에서 진행하며, 년간 공수 범위를 초과하는 사항은 별도 협의합니다.</t>
    <phoneticPr fontId="3" type="noConversion"/>
  </si>
  <si>
    <t>커스터마이징</t>
    <phoneticPr fontId="3" type="noConversion"/>
  </si>
  <si>
    <t>제외</t>
    <phoneticPr fontId="3" type="noConversion"/>
  </si>
  <si>
    <t>콜마 : 공수 없음  /  이노엔 : ??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</si>
</sst>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"/>
    <numFmt numFmtId="177" formatCode="#,##0_);[Red]\(#,##0\)"/>
  </numFmts>
  <fonts count="2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sz val="9"/>
      <name val="맑은 고딕"/>
      <family val="3"/>
      <charset val="129"/>
    </font>
    <font>
      <b/>
      <sz val="2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9"/>
      <name val="맑은 고딕"/>
      <family val="3"/>
      <charset val="129"/>
    </font>
    <font>
      <sz val="18"/>
      <name val="맑은 고딕"/>
      <family val="3"/>
      <charset val="129"/>
    </font>
    <font>
      <b/>
      <sz val="2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</font>
    <font>
      <b/>
      <sz val="11"/>
      <color rgb="FF0070C0"/>
      <name val="돋움"/>
      <family val="3"/>
      <charset val="129"/>
    </font>
    <font>
      <sz val="9"/>
      <name val="돋움"/>
      <family val="3"/>
      <charset val="129"/>
    </font>
    <font>
      <i/>
      <sz val="9"/>
      <name val="맑은 고딕"/>
      <family val="3"/>
      <charset val="129"/>
      <scheme val="minor"/>
    </font>
    <font>
      <i/>
      <sz val="9"/>
      <name val="맑은 고딕"/>
      <family val="3"/>
      <charset val="129"/>
    </font>
    <font>
      <sz val="9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2" tint="-9.9978637043366805E-2"/>
        <bgColor indexed="64"/>
      </patternFill>
    </fill>
  </fills>
  <borders count="8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23"/>
      </right>
      <top style="thin">
        <color indexed="23"/>
      </top>
      <bottom/>
      <diagonal/>
    </border>
    <border>
      <left style="thin">
        <color theme="0" tint="-0.499984740745262"/>
      </left>
      <right style="thin">
        <color indexed="23"/>
      </right>
      <top/>
      <bottom/>
      <diagonal/>
    </border>
    <border>
      <left style="thin">
        <color theme="0" tint="-0.499984740745262"/>
      </left>
      <right style="thin">
        <color indexed="23"/>
      </right>
      <top style="thin">
        <color indexed="23"/>
      </top>
      <bottom style="thin">
        <color theme="0" tint="-0.499984740745262"/>
      </bottom>
      <diagonal/>
    </border>
    <border>
      <left style="thin">
        <color indexed="23"/>
      </left>
      <right style="thin">
        <color theme="0" tint="-0.499984740745262"/>
      </right>
      <top/>
      <bottom/>
      <diagonal/>
    </border>
    <border>
      <left style="thin">
        <color indexed="23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23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/>
      <diagonal/>
    </border>
    <border>
      <left style="thin">
        <color indexed="23"/>
      </left>
      <right style="thin">
        <color indexed="23"/>
      </right>
      <top style="medium">
        <color indexed="23"/>
      </top>
      <bottom/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theme="0" tint="-0.499984740745262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thin">
        <color indexed="23"/>
      </right>
      <top/>
      <bottom/>
      <diagonal/>
    </border>
    <border>
      <left style="thin">
        <color theme="0" tint="-0.499984740745262"/>
      </left>
      <right style="medium">
        <color indexed="23"/>
      </right>
      <top style="thin">
        <color theme="0" tint="-0.499984740745262"/>
      </top>
      <bottom/>
      <diagonal/>
    </border>
    <border>
      <left style="medium">
        <color indexed="23"/>
      </left>
      <right style="thin">
        <color indexed="23"/>
      </right>
      <top/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theme="0" tint="-0.499984740745262"/>
      </left>
      <right style="medium">
        <color indexed="23"/>
      </right>
      <top style="thin">
        <color theme="0" tint="-0.499984740745262"/>
      </top>
      <bottom style="medium">
        <color indexed="23"/>
      </bottom>
      <diagonal/>
    </border>
    <border>
      <left/>
      <right style="thin">
        <color theme="0" tint="-0.499984740745262"/>
      </right>
      <top style="thin">
        <color indexed="23"/>
      </top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2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indexed="23"/>
      </left>
      <right/>
      <top style="double">
        <color indexed="23"/>
      </top>
      <bottom style="double">
        <color indexed="23"/>
      </bottom>
      <diagonal/>
    </border>
    <border>
      <left/>
      <right/>
      <top style="double">
        <color indexed="23"/>
      </top>
      <bottom style="double">
        <color indexed="23"/>
      </bottom>
      <diagonal/>
    </border>
    <border>
      <left/>
      <right style="thin">
        <color indexed="23"/>
      </right>
      <top style="double">
        <color indexed="23"/>
      </top>
      <bottom style="double">
        <color indexed="23"/>
      </bottom>
      <diagonal/>
    </border>
    <border>
      <left style="thin">
        <color indexed="23"/>
      </left>
      <right style="thin">
        <color indexed="23"/>
      </right>
      <top style="double">
        <color indexed="23"/>
      </top>
      <bottom style="double">
        <color indexed="23"/>
      </bottom>
      <diagonal/>
    </border>
    <border>
      <left style="thin">
        <color indexed="23"/>
      </left>
      <right style="double">
        <color indexed="23"/>
      </right>
      <top style="double">
        <color indexed="23"/>
      </top>
      <bottom style="double">
        <color indexed="23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/>
      <bottom style="double">
        <color indexed="23"/>
      </bottom>
      <diagonal/>
    </border>
    <border>
      <left style="thin">
        <color indexed="23"/>
      </left>
      <right style="medium">
        <color indexed="23"/>
      </right>
      <top/>
      <bottom style="medium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double">
        <color indexed="2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indexed="23"/>
      </bottom>
      <diagonal/>
    </border>
    <border>
      <left style="thin">
        <color theme="0" tint="-0.499984740745262"/>
      </left>
      <right style="thin">
        <color indexed="23"/>
      </right>
      <top/>
      <bottom style="double">
        <color indexed="23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indexed="23"/>
      </right>
      <top style="thin">
        <color indexed="23"/>
      </top>
      <bottom style="double">
        <color indexed="23"/>
      </bottom>
      <diagonal/>
    </border>
  </borders>
  <cellStyleXfs count="5">
    <xf numFmtId="0" fontId="0" fillId="0" borderId="0"/>
    <xf numFmtId="41" fontId="2" fillId="0" borderId="0" applyFont="0" applyFill="0" applyBorder="0" applyAlignment="0" applyProtection="0"/>
    <xf numFmtId="0" fontId="4" fillId="0" borderId="0"/>
    <xf numFmtId="0" fontId="2" fillId="0" borderId="0"/>
    <xf numFmtId="0" fontId="1" fillId="0" borderId="0">
      <alignment vertical="center"/>
    </xf>
  </cellStyleXfs>
  <cellXfs count="240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2" applyFont="1" applyFill="1" applyAlignment="1" applyProtection="1">
      <alignment horizontal="centerContinuous" vertical="center"/>
      <protection locked="0"/>
    </xf>
    <xf numFmtId="0" fontId="12" fillId="0" borderId="0" xfId="2" applyFont="1" applyFill="1" applyAlignment="1">
      <alignment horizontal="centerContinuous" vertical="center"/>
    </xf>
    <xf numFmtId="41" fontId="12" fillId="0" borderId="0" xfId="2" applyNumberFormat="1" applyFont="1" applyFill="1" applyAlignment="1">
      <alignment horizontal="centerContinuous" vertical="center"/>
    </xf>
    <xf numFmtId="41" fontId="13" fillId="0" borderId="0" xfId="2" applyNumberFormat="1" applyFont="1" applyAlignment="1">
      <alignment horizontal="center" vertical="center"/>
    </xf>
    <xf numFmtId="49" fontId="13" fillId="0" borderId="0" xfId="2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2" applyFont="1" applyAlignment="1">
      <alignment horizontal="left" vertical="center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vertical="center"/>
    </xf>
    <xf numFmtId="0" fontId="13" fillId="3" borderId="2" xfId="2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4" fillId="0" borderId="2" xfId="2" applyFont="1" applyBorder="1" applyAlignment="1">
      <alignment horizontal="left"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41" fontId="13" fillId="0" borderId="0" xfId="2" applyNumberFormat="1" applyFont="1" applyBorder="1" applyAlignment="1">
      <alignment horizontal="center" vertical="center"/>
    </xf>
    <xf numFmtId="49" fontId="13" fillId="0" borderId="0" xfId="2" applyNumberFormat="1" applyFont="1" applyBorder="1" applyAlignment="1">
      <alignment vertical="center"/>
    </xf>
    <xf numFmtId="0" fontId="14" fillId="0" borderId="0" xfId="2" applyFont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9" fontId="9" fillId="0" borderId="0" xfId="0" applyNumberFormat="1" applyFont="1"/>
    <xf numFmtId="49" fontId="6" fillId="0" borderId="0" xfId="0" applyNumberFormat="1" applyFont="1"/>
    <xf numFmtId="0" fontId="18" fillId="4" borderId="0" xfId="2" applyFont="1" applyFill="1" applyAlignment="1" applyProtection="1">
      <alignment horizontal="centerContinuous" vertical="center"/>
      <protection locked="0"/>
    </xf>
    <xf numFmtId="0" fontId="18" fillId="4" borderId="0" xfId="2" applyFont="1" applyFill="1" applyAlignment="1">
      <alignment horizontal="centerContinuous" vertical="center"/>
    </xf>
    <xf numFmtId="49" fontId="18" fillId="4" borderId="0" xfId="2" applyNumberFormat="1" applyFont="1" applyFill="1" applyAlignment="1">
      <alignment horizontal="centerContinuous" vertical="center"/>
    </xf>
    <xf numFmtId="41" fontId="18" fillId="4" borderId="0" xfId="2" applyNumberFormat="1" applyFont="1" applyFill="1" applyAlignment="1">
      <alignment horizontal="centerContinuous" vertical="center"/>
    </xf>
    <xf numFmtId="0" fontId="18" fillId="0" borderId="0" xfId="2" applyFont="1" applyFill="1" applyAlignment="1" applyProtection="1">
      <alignment horizontal="centerContinuous" vertical="center"/>
      <protection locked="0"/>
    </xf>
    <xf numFmtId="0" fontId="18" fillId="0" borderId="0" xfId="2" applyFont="1" applyFill="1" applyAlignment="1">
      <alignment horizontal="centerContinuous" vertical="center"/>
    </xf>
    <xf numFmtId="49" fontId="18" fillId="0" borderId="0" xfId="2" applyNumberFormat="1" applyFont="1" applyFill="1" applyAlignment="1">
      <alignment horizontal="centerContinuous" vertical="center"/>
    </xf>
    <xf numFmtId="41" fontId="18" fillId="0" borderId="0" xfId="2" applyNumberFormat="1" applyFont="1" applyFill="1" applyAlignment="1">
      <alignment horizontal="centerContinuous" vertical="center"/>
    </xf>
    <xf numFmtId="0" fontId="19" fillId="5" borderId="7" xfId="2" applyFont="1" applyFill="1" applyBorder="1" applyAlignment="1">
      <alignment horizontal="center" vertical="center"/>
    </xf>
    <xf numFmtId="0" fontId="19" fillId="5" borderId="8" xfId="2" applyFont="1" applyFill="1" applyBorder="1" applyAlignment="1">
      <alignment horizontal="center" vertical="center"/>
    </xf>
    <xf numFmtId="49" fontId="19" fillId="5" borderId="8" xfId="2" applyNumberFormat="1" applyFont="1" applyFill="1" applyBorder="1" applyAlignment="1">
      <alignment horizontal="center" vertical="center"/>
    </xf>
    <xf numFmtId="41" fontId="19" fillId="5" borderId="9" xfId="1" applyNumberFormat="1" applyFont="1" applyFill="1" applyBorder="1" applyAlignment="1">
      <alignment horizontal="center" vertical="center"/>
    </xf>
    <xf numFmtId="41" fontId="19" fillId="5" borderId="10" xfId="1" applyFont="1" applyFill="1" applyBorder="1" applyAlignment="1">
      <alignment horizontal="center" vertical="center"/>
    </xf>
    <xf numFmtId="0" fontId="19" fillId="0" borderId="11" xfId="2" applyNumberFormat="1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center" vertical="center" wrapText="1"/>
    </xf>
    <xf numFmtId="49" fontId="19" fillId="0" borderId="10" xfId="0" applyNumberFormat="1" applyFont="1" applyFill="1" applyBorder="1" applyAlignment="1">
      <alignment vertical="center" wrapText="1"/>
    </xf>
    <xf numFmtId="49" fontId="19" fillId="0" borderId="12" xfId="0" applyNumberFormat="1" applyFont="1" applyFill="1" applyBorder="1" applyAlignment="1">
      <alignment vertical="center" wrapText="1"/>
    </xf>
    <xf numFmtId="49" fontId="19" fillId="0" borderId="13" xfId="0" applyNumberFormat="1" applyFont="1" applyFill="1" applyBorder="1" applyAlignment="1">
      <alignment vertical="center" wrapText="1"/>
    </xf>
    <xf numFmtId="0" fontId="20" fillId="0" borderId="0" xfId="0" applyFont="1"/>
    <xf numFmtId="49" fontId="20" fillId="0" borderId="0" xfId="0" applyNumberFormat="1" applyFont="1"/>
    <xf numFmtId="0" fontId="20" fillId="0" borderId="0" xfId="0" applyFont="1" applyAlignment="1">
      <alignment vertical="center"/>
    </xf>
    <xf numFmtId="0" fontId="21" fillId="0" borderId="0" xfId="0" applyFont="1"/>
    <xf numFmtId="49" fontId="21" fillId="0" borderId="0" xfId="0" applyNumberFormat="1" applyFont="1"/>
    <xf numFmtId="0" fontId="19" fillId="0" borderId="0" xfId="0" applyFont="1"/>
    <xf numFmtId="49" fontId="19" fillId="0" borderId="0" xfId="0" applyNumberFormat="1" applyFont="1"/>
    <xf numFmtId="49" fontId="19" fillId="6" borderId="15" xfId="0" applyNumberFormat="1" applyFont="1" applyFill="1" applyBorder="1" applyAlignment="1">
      <alignment vertical="center" wrapText="1"/>
    </xf>
    <xf numFmtId="41" fontId="13" fillId="0" borderId="0" xfId="2" applyNumberFormat="1" applyFont="1" applyAlignment="1">
      <alignment horizontal="center"/>
    </xf>
    <xf numFmtId="0" fontId="11" fillId="0" borderId="0" xfId="0" applyFont="1" applyAlignment="1">
      <alignment horizontal="right" vertical="center"/>
    </xf>
    <xf numFmtId="0" fontId="22" fillId="0" borderId="0" xfId="0" applyFont="1"/>
    <xf numFmtId="0" fontId="19" fillId="0" borderId="0" xfId="0" applyFont="1" applyAlignment="1">
      <alignment vertical="center"/>
    </xf>
    <xf numFmtId="41" fontId="14" fillId="0" borderId="0" xfId="0" applyNumberFormat="1" applyFont="1" applyAlignment="1">
      <alignment vertical="center"/>
    </xf>
    <xf numFmtId="49" fontId="14" fillId="0" borderId="23" xfId="2" applyNumberFormat="1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41" fontId="13" fillId="0" borderId="25" xfId="2" applyNumberFormat="1" applyFont="1" applyBorder="1" applyAlignment="1">
      <alignment horizontal="center" vertical="center"/>
    </xf>
    <xf numFmtId="49" fontId="14" fillId="0" borderId="26" xfId="2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49" fontId="13" fillId="0" borderId="27" xfId="2" applyNumberFormat="1" applyFont="1" applyBorder="1" applyAlignment="1">
      <alignment vertical="center"/>
    </xf>
    <xf numFmtId="49" fontId="14" fillId="0" borderId="28" xfId="2" applyNumberFormat="1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49" fontId="13" fillId="0" borderId="30" xfId="2" applyNumberFormat="1" applyFont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49" fontId="19" fillId="0" borderId="0" xfId="0" applyNumberFormat="1" applyFont="1" applyAlignment="1">
      <alignment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41" fontId="11" fillId="3" borderId="1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41" fontId="16" fillId="3" borderId="1" xfId="2" applyNumberFormat="1" applyFont="1" applyFill="1" applyBorder="1" applyAlignment="1">
      <alignment horizontal="right" vertical="center"/>
    </xf>
    <xf numFmtId="41" fontId="19" fillId="5" borderId="14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49" fontId="19" fillId="0" borderId="10" xfId="0" quotePrefix="1" applyNumberFormat="1" applyFont="1" applyFill="1" applyBorder="1" applyAlignment="1">
      <alignment vertical="center" wrapText="1"/>
    </xf>
    <xf numFmtId="41" fontId="19" fillId="5" borderId="36" xfId="1" applyFont="1" applyFill="1" applyBorder="1" applyAlignment="1">
      <alignment vertical="center"/>
    </xf>
    <xf numFmtId="176" fontId="11" fillId="0" borderId="1" xfId="2" applyNumberFormat="1" applyFont="1" applyFill="1" applyBorder="1" applyAlignment="1">
      <alignment horizontal="right" vertical="center"/>
    </xf>
    <xf numFmtId="41" fontId="11" fillId="3" borderId="1" xfId="2" applyNumberFormat="1" applyFont="1" applyFill="1" applyBorder="1" applyAlignment="1">
      <alignment horizontal="left" vertical="center"/>
    </xf>
    <xf numFmtId="0" fontId="11" fillId="0" borderId="31" xfId="0" applyFont="1" applyBorder="1" applyAlignment="1">
      <alignment horizontal="center" vertical="center" wrapText="1"/>
    </xf>
    <xf numFmtId="0" fontId="11" fillId="3" borderId="31" xfId="2" applyFont="1" applyFill="1" applyBorder="1" applyAlignment="1">
      <alignment horizontal="center" vertical="center"/>
    </xf>
    <xf numFmtId="0" fontId="11" fillId="3" borderId="31" xfId="2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center" wrapText="1"/>
    </xf>
    <xf numFmtId="41" fontId="19" fillId="5" borderId="44" xfId="1" applyFont="1" applyFill="1" applyBorder="1" applyAlignment="1">
      <alignment vertical="center"/>
    </xf>
    <xf numFmtId="0" fontId="11" fillId="0" borderId="47" xfId="0" applyFont="1" applyBorder="1" applyAlignment="1">
      <alignment horizontal="left" vertical="center" wrapText="1"/>
    </xf>
    <xf numFmtId="41" fontId="19" fillId="5" borderId="48" xfId="1" applyFont="1" applyFill="1" applyBorder="1" applyAlignment="1">
      <alignment vertical="center"/>
    </xf>
    <xf numFmtId="41" fontId="19" fillId="5" borderId="50" xfId="1" applyFont="1" applyFill="1" applyBorder="1" applyAlignment="1">
      <alignment vertical="center"/>
    </xf>
    <xf numFmtId="0" fontId="19" fillId="0" borderId="52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left" vertical="center" wrapText="1"/>
    </xf>
    <xf numFmtId="41" fontId="19" fillId="5" borderId="53" xfId="1" applyFont="1" applyFill="1" applyBorder="1" applyAlignment="1">
      <alignment vertical="center"/>
    </xf>
    <xf numFmtId="0" fontId="11" fillId="0" borderId="55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left" vertical="center" wrapText="1"/>
    </xf>
    <xf numFmtId="0" fontId="11" fillId="0" borderId="58" xfId="0" applyFont="1" applyBorder="1" applyAlignment="1">
      <alignment horizontal="left" vertical="center" wrapText="1"/>
    </xf>
    <xf numFmtId="0" fontId="11" fillId="0" borderId="60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center" vertical="center" wrapText="1"/>
    </xf>
    <xf numFmtId="0" fontId="19" fillId="0" borderId="61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41" fontId="16" fillId="7" borderId="68" xfId="2" applyNumberFormat="1" applyFont="1" applyFill="1" applyBorder="1" applyAlignment="1">
      <alignment horizontal="right" vertical="center"/>
    </xf>
    <xf numFmtId="41" fontId="16" fillId="7" borderId="69" xfId="2" applyNumberFormat="1" applyFont="1" applyFill="1" applyBorder="1" applyAlignment="1">
      <alignment horizontal="left" vertical="center" wrapText="1"/>
    </xf>
    <xf numFmtId="41" fontId="19" fillId="5" borderId="25" xfId="1" applyFont="1" applyFill="1" applyBorder="1" applyAlignment="1">
      <alignment vertical="center"/>
    </xf>
    <xf numFmtId="0" fontId="19" fillId="0" borderId="31" xfId="0" applyFont="1" applyBorder="1" applyAlignment="1">
      <alignment horizontal="center" vertical="center" wrapText="1"/>
    </xf>
    <xf numFmtId="9" fontId="11" fillId="0" borderId="39" xfId="2" applyNumberFormat="1" applyFont="1" applyFill="1" applyBorder="1" applyAlignment="1">
      <alignment horizontal="center" vertical="center"/>
    </xf>
    <xf numFmtId="9" fontId="11" fillId="0" borderId="37" xfId="2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41" fontId="26" fillId="5" borderId="36" xfId="1" applyFont="1" applyFill="1" applyBorder="1" applyAlignment="1">
      <alignment vertical="center"/>
    </xf>
    <xf numFmtId="9" fontId="27" fillId="0" borderId="37" xfId="2" applyNumberFormat="1" applyFont="1" applyFill="1" applyBorder="1" applyAlignment="1">
      <alignment horizontal="center" vertical="center"/>
    </xf>
    <xf numFmtId="176" fontId="27" fillId="0" borderId="1" xfId="2" applyNumberFormat="1" applyFont="1" applyFill="1" applyBorder="1" applyAlignment="1">
      <alignment horizontal="right" vertical="center"/>
    </xf>
    <xf numFmtId="0" fontId="11" fillId="0" borderId="51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1" fillId="0" borderId="72" xfId="0" applyFont="1" applyBorder="1" applyAlignment="1">
      <alignment horizontal="left" vertical="center" wrapText="1"/>
    </xf>
    <xf numFmtId="0" fontId="11" fillId="0" borderId="74" xfId="0" applyFont="1" applyBorder="1" applyAlignment="1">
      <alignment horizontal="center" vertical="center" wrapText="1"/>
    </xf>
    <xf numFmtId="0" fontId="19" fillId="0" borderId="74" xfId="0" applyFont="1" applyBorder="1" applyAlignment="1">
      <alignment horizontal="center" vertical="center" wrapText="1"/>
    </xf>
    <xf numFmtId="0" fontId="11" fillId="0" borderId="74" xfId="0" applyFont="1" applyBorder="1" applyAlignment="1">
      <alignment horizontal="left" vertical="center" wrapText="1"/>
    </xf>
    <xf numFmtId="41" fontId="19" fillId="5" borderId="75" xfId="1" applyFont="1" applyFill="1" applyBorder="1" applyAlignment="1">
      <alignment vertical="center"/>
    </xf>
    <xf numFmtId="0" fontId="26" fillId="0" borderId="74" xfId="0" applyFont="1" applyBorder="1" applyAlignment="1">
      <alignment horizontal="center" vertical="center" wrapText="1"/>
    </xf>
    <xf numFmtId="0" fontId="27" fillId="0" borderId="74" xfId="0" applyFont="1" applyBorder="1" applyAlignment="1">
      <alignment horizontal="left" vertical="center" wrapText="1"/>
    </xf>
    <xf numFmtId="41" fontId="26" fillId="5" borderId="75" xfId="1" applyFont="1" applyFill="1" applyBorder="1" applyAlignment="1">
      <alignment vertical="center"/>
    </xf>
    <xf numFmtId="9" fontId="27" fillId="0" borderId="79" xfId="2" applyNumberFormat="1" applyFont="1" applyFill="1" applyBorder="1" applyAlignment="1">
      <alignment horizontal="center" vertical="center"/>
    </xf>
    <xf numFmtId="176" fontId="27" fillId="0" borderId="74" xfId="2" applyNumberFormat="1" applyFont="1" applyFill="1" applyBorder="1" applyAlignment="1">
      <alignment horizontal="right" vertical="center"/>
    </xf>
    <xf numFmtId="0" fontId="23" fillId="0" borderId="6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24" fillId="0" borderId="19" xfId="0" applyFont="1" applyBorder="1" applyAlignment="1">
      <alignment vertical="center"/>
    </xf>
    <xf numFmtId="0" fontId="11" fillId="2" borderId="31" xfId="2" quotePrefix="1" applyNumberFormat="1" applyFont="1" applyFill="1" applyBorder="1" applyAlignment="1">
      <alignment horizontal="left" vertical="center" wrapText="1"/>
    </xf>
    <xf numFmtId="0" fontId="11" fillId="2" borderId="32" xfId="2" quotePrefix="1" applyNumberFormat="1" applyFont="1" applyFill="1" applyBorder="1" applyAlignment="1">
      <alignment horizontal="left" vertical="center" wrapText="1"/>
    </xf>
    <xf numFmtId="0" fontId="11" fillId="0" borderId="32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1" fontId="19" fillId="5" borderId="54" xfId="1" applyFont="1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9" fontId="11" fillId="0" borderId="39" xfId="2" applyNumberFormat="1" applyFont="1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1" fontId="11" fillId="0" borderId="62" xfId="2" applyNumberFormat="1" applyFont="1" applyFill="1" applyBorder="1" applyAlignment="1">
      <alignment vertical="center"/>
    </xf>
    <xf numFmtId="0" fontId="0" fillId="0" borderId="64" xfId="0" applyBorder="1" applyAlignment="1">
      <alignment vertical="center"/>
    </xf>
    <xf numFmtId="0" fontId="23" fillId="0" borderId="6" xfId="0" applyFont="1" applyFill="1" applyBorder="1" applyAlignment="1">
      <alignment horizontal="left" vertical="center" wrapText="1"/>
    </xf>
    <xf numFmtId="0" fontId="23" fillId="0" borderId="5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left" vertical="center"/>
    </xf>
    <xf numFmtId="0" fontId="24" fillId="0" borderId="17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17" fillId="4" borderId="0" xfId="2" applyFont="1" applyFill="1" applyAlignment="1" applyProtection="1">
      <alignment horizontal="center" vertical="center"/>
      <protection locked="0"/>
    </xf>
    <xf numFmtId="0" fontId="0" fillId="0" borderId="0" xfId="0" applyAlignment="1"/>
    <xf numFmtId="0" fontId="15" fillId="2" borderId="5" xfId="1" applyNumberFormat="1" applyFont="1" applyFill="1" applyBorder="1" applyAlignment="1" applyProtection="1">
      <alignment vertical="center"/>
    </xf>
    <xf numFmtId="0" fontId="0" fillId="0" borderId="17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15" fillId="2" borderId="2" xfId="1" applyNumberFormat="1" applyFont="1" applyFill="1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1" fillId="0" borderId="6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25" fillId="0" borderId="19" xfId="0" applyFont="1" applyBorder="1" applyAlignment="1">
      <alignment vertical="center"/>
    </xf>
    <xf numFmtId="0" fontId="11" fillId="0" borderId="6" xfId="0" applyFont="1" applyBorder="1" applyAlignment="1">
      <alignment horizontal="center" vertical="center" wrapText="1"/>
    </xf>
    <xf numFmtId="41" fontId="19" fillId="5" borderId="27" xfId="1" applyFont="1" applyFill="1" applyBorder="1" applyAlignment="1">
      <alignment vertical="center"/>
    </xf>
    <xf numFmtId="0" fontId="19" fillId="0" borderId="31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 wrapText="1"/>
    </xf>
    <xf numFmtId="9" fontId="11" fillId="0" borderId="42" xfId="2" applyNumberFormat="1" applyFont="1" applyFill="1" applyBorder="1" applyAlignment="1">
      <alignment horizontal="center" vertical="center"/>
    </xf>
    <xf numFmtId="0" fontId="11" fillId="0" borderId="71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9" fontId="11" fillId="0" borderId="37" xfId="2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41" fontId="11" fillId="0" borderId="73" xfId="2" applyNumberFormat="1" applyFont="1" applyFill="1" applyBorder="1" applyAlignment="1">
      <alignment vertical="center"/>
    </xf>
    <xf numFmtId="0" fontId="2" fillId="0" borderId="32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/>
    </xf>
    <xf numFmtId="0" fontId="0" fillId="0" borderId="71" xfId="0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25" fillId="0" borderId="3" xfId="0" applyFont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17" xfId="0" applyFont="1" applyFill="1" applyBorder="1" applyAlignment="1">
      <alignment horizontal="left" vertical="center"/>
    </xf>
    <xf numFmtId="0" fontId="25" fillId="0" borderId="17" xfId="0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0" fontId="14" fillId="0" borderId="6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19" xfId="0" applyBorder="1" applyAlignment="1">
      <alignment vertical="center"/>
    </xf>
    <xf numFmtId="0" fontId="16" fillId="7" borderId="65" xfId="0" applyFont="1" applyFill="1" applyBorder="1" applyAlignment="1">
      <alignment horizontal="center" vertical="center" wrapText="1"/>
    </xf>
    <xf numFmtId="0" fontId="16" fillId="7" borderId="66" xfId="0" applyFont="1" applyFill="1" applyBorder="1" applyAlignment="1">
      <alignment horizontal="center" vertical="center"/>
    </xf>
    <xf numFmtId="0" fontId="16" fillId="7" borderId="67" xfId="0" applyFont="1" applyFill="1" applyBorder="1" applyAlignment="1">
      <alignment horizontal="center" vertical="center"/>
    </xf>
    <xf numFmtId="41" fontId="11" fillId="0" borderId="31" xfId="2" applyNumberFormat="1" applyFont="1" applyFill="1" applyBorder="1" applyAlignment="1">
      <alignment vertical="center"/>
    </xf>
    <xf numFmtId="0" fontId="0" fillId="0" borderId="32" xfId="0" applyBorder="1" applyAlignment="1">
      <alignment vertical="center"/>
    </xf>
    <xf numFmtId="177" fontId="11" fillId="0" borderId="31" xfId="2" applyNumberFormat="1" applyFont="1" applyFill="1" applyBorder="1" applyAlignment="1">
      <alignment vertical="center"/>
    </xf>
    <xf numFmtId="177" fontId="0" fillId="0" borderId="32" xfId="0" applyNumberFormat="1" applyBorder="1" applyAlignment="1">
      <alignment vertical="center"/>
    </xf>
    <xf numFmtId="41" fontId="19" fillId="5" borderId="25" xfId="1" applyFont="1" applyFill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9" fontId="11" fillId="0" borderId="18" xfId="2" applyNumberFormat="1" applyFont="1" applyFill="1" applyBorder="1" applyAlignment="1">
      <alignment horizontal="center" vertical="center"/>
    </xf>
    <xf numFmtId="9" fontId="11" fillId="0" borderId="19" xfId="2" applyNumberFormat="1" applyFont="1" applyFill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9" fontId="0" fillId="0" borderId="38" xfId="0" applyNumberFormat="1" applyBorder="1" applyAlignment="1">
      <alignment horizontal="center" vertical="center"/>
    </xf>
    <xf numFmtId="9" fontId="0" fillId="0" borderId="76" xfId="0" applyNumberFormat="1" applyBorder="1" applyAlignment="1">
      <alignment horizontal="center" vertical="center"/>
    </xf>
    <xf numFmtId="41" fontId="11" fillId="0" borderId="32" xfId="2" applyNumberFormat="1" applyFont="1" applyFill="1" applyBorder="1" applyAlignment="1">
      <alignment vertical="center"/>
    </xf>
    <xf numFmtId="0" fontId="0" fillId="0" borderId="71" xfId="0" applyBorder="1" applyAlignment="1">
      <alignment vertical="center"/>
    </xf>
    <xf numFmtId="177" fontId="11" fillId="0" borderId="32" xfId="2" applyNumberFormat="1" applyFont="1" applyFill="1" applyBorder="1" applyAlignment="1">
      <alignment vertical="center"/>
    </xf>
    <xf numFmtId="177" fontId="0" fillId="0" borderId="71" xfId="0" applyNumberFormat="1" applyBorder="1" applyAlignment="1">
      <alignment vertical="center"/>
    </xf>
    <xf numFmtId="0" fontId="11" fillId="2" borderId="71" xfId="2" quotePrefix="1" applyNumberFormat="1" applyFont="1" applyFill="1" applyBorder="1" applyAlignment="1">
      <alignment horizontal="left" vertical="center" wrapText="1"/>
    </xf>
    <xf numFmtId="0" fontId="19" fillId="0" borderId="20" xfId="0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41" fontId="19" fillId="5" borderId="12" xfId="1" applyFont="1" applyFill="1" applyBorder="1" applyAlignment="1">
      <alignment horizontal="center" vertical="center" wrapText="1"/>
    </xf>
    <xf numFmtId="41" fontId="19" fillId="5" borderId="33" xfId="1" applyFont="1" applyFill="1" applyBorder="1" applyAlignment="1">
      <alignment horizontal="center" vertical="center" wrapText="1"/>
    </xf>
    <xf numFmtId="0" fontId="19" fillId="0" borderId="16" xfId="2" applyNumberFormat="1" applyFont="1" applyFill="1" applyBorder="1" applyAlignment="1">
      <alignment horizontal="left" vertical="center" wrapText="1"/>
    </xf>
    <xf numFmtId="0" fontId="19" fillId="0" borderId="22" xfId="2" applyNumberFormat="1" applyFont="1" applyFill="1" applyBorder="1" applyAlignment="1">
      <alignment horizontal="left" vertical="center" wrapText="1"/>
    </xf>
    <xf numFmtId="0" fontId="19" fillId="0" borderId="61" xfId="0" applyFont="1" applyBorder="1" applyAlignment="1">
      <alignment horizontal="center" vertical="center" wrapText="1"/>
    </xf>
    <xf numFmtId="41" fontId="19" fillId="5" borderId="12" xfId="1" applyFont="1" applyFill="1" applyBorder="1" applyAlignment="1">
      <alignment horizontal="center" vertical="center"/>
    </xf>
    <xf numFmtId="41" fontId="19" fillId="5" borderId="13" xfId="1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19" fillId="0" borderId="12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41" fontId="19" fillId="6" borderId="34" xfId="1" quotePrefix="1" applyFont="1" applyFill="1" applyBorder="1" applyAlignment="1">
      <alignment horizontal="left" vertical="center" wrapText="1"/>
    </xf>
    <xf numFmtId="0" fontId="0" fillId="0" borderId="70" xfId="0" applyBorder="1" applyAlignment="1">
      <alignment horizontal="left" vertical="center" wrapText="1"/>
    </xf>
    <xf numFmtId="0" fontId="19" fillId="0" borderId="12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6" borderId="77" xfId="0" applyFont="1" applyFill="1" applyBorder="1" applyAlignment="1">
      <alignment horizontal="center" vertical="center" wrapText="1"/>
    </xf>
    <xf numFmtId="0" fontId="19" fillId="6" borderId="78" xfId="0" applyFont="1" applyFill="1" applyBorder="1" applyAlignment="1">
      <alignment horizontal="center" vertical="center" wrapText="1"/>
    </xf>
  </cellXfs>
  <cellStyles count="5">
    <cellStyle name="쉼표 [0]" xfId="1" builtinId="6"/>
    <cellStyle name="표준" xfId="0" builtinId="0"/>
    <cellStyle name="표준 2" xfId="4"/>
    <cellStyle name="표준 3" xfId="3"/>
    <cellStyle name="표준_제출용" xfId="2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branch\Outlook\Attachments\Monthly%20Click%20Tracking%20Report%20June%20Mexico%20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set%20Management\Real%20Estate\Pipeline\FXK%20Real%20Estate-Development%20Pipeline%20Summary%20-%200907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Example"/>
      <sheetName val="Model"/>
      <sheetName val="Center 1192"/>
      <sheetName val="Center 1260"/>
      <sheetName val="Center 1261"/>
      <sheetName val="Center 1297"/>
      <sheetName val="Centers"/>
      <sheetName val="Center List"/>
      <sheetName val="List of centers"/>
      <sheetName val="List of Machines"/>
      <sheetName val="Machine 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E2">
            <v>76</v>
          </cell>
        </row>
        <row r="3">
          <cell r="E3">
            <v>77</v>
          </cell>
        </row>
        <row r="4">
          <cell r="E4">
            <v>78</v>
          </cell>
        </row>
        <row r="5">
          <cell r="E5">
            <v>85</v>
          </cell>
        </row>
        <row r="6">
          <cell r="E6">
            <v>146</v>
          </cell>
        </row>
        <row r="7">
          <cell r="E7">
            <v>170</v>
          </cell>
        </row>
        <row r="8">
          <cell r="E8">
            <v>173</v>
          </cell>
        </row>
        <row r="9">
          <cell r="E9">
            <v>275</v>
          </cell>
        </row>
        <row r="10">
          <cell r="E10">
            <v>278</v>
          </cell>
        </row>
        <row r="11">
          <cell r="E11">
            <v>280</v>
          </cell>
        </row>
        <row r="12">
          <cell r="E12">
            <v>287</v>
          </cell>
        </row>
        <row r="13">
          <cell r="E13">
            <v>290</v>
          </cell>
        </row>
        <row r="14">
          <cell r="E14">
            <v>292</v>
          </cell>
        </row>
        <row r="15">
          <cell r="E15">
            <v>297</v>
          </cell>
        </row>
        <row r="16">
          <cell r="E16">
            <v>298</v>
          </cell>
        </row>
        <row r="17">
          <cell r="E17">
            <v>299</v>
          </cell>
        </row>
        <row r="18">
          <cell r="E18">
            <v>343</v>
          </cell>
        </row>
        <row r="19">
          <cell r="E19">
            <v>344</v>
          </cell>
        </row>
        <row r="20">
          <cell r="E20">
            <v>345</v>
          </cell>
        </row>
        <row r="21">
          <cell r="E21">
            <v>347</v>
          </cell>
        </row>
        <row r="22">
          <cell r="E22">
            <v>348</v>
          </cell>
        </row>
        <row r="23">
          <cell r="E23">
            <v>356</v>
          </cell>
        </row>
        <row r="24">
          <cell r="E24">
            <v>368</v>
          </cell>
        </row>
        <row r="25">
          <cell r="E25">
            <v>369</v>
          </cell>
        </row>
        <row r="26">
          <cell r="E26">
            <v>382</v>
          </cell>
        </row>
        <row r="27">
          <cell r="E27">
            <v>383</v>
          </cell>
        </row>
        <row r="28">
          <cell r="E28">
            <v>387</v>
          </cell>
        </row>
        <row r="29">
          <cell r="E29">
            <v>390</v>
          </cell>
        </row>
        <row r="30">
          <cell r="E30">
            <v>391</v>
          </cell>
        </row>
        <row r="31">
          <cell r="E31">
            <v>393</v>
          </cell>
        </row>
        <row r="32">
          <cell r="E32">
            <v>395</v>
          </cell>
        </row>
        <row r="33">
          <cell r="E33">
            <v>464</v>
          </cell>
        </row>
        <row r="34">
          <cell r="E34">
            <v>479</v>
          </cell>
        </row>
        <row r="35">
          <cell r="E35">
            <v>489</v>
          </cell>
        </row>
        <row r="36">
          <cell r="E36">
            <v>536</v>
          </cell>
        </row>
        <row r="37">
          <cell r="E37">
            <v>546</v>
          </cell>
        </row>
        <row r="38">
          <cell r="E38">
            <v>547</v>
          </cell>
        </row>
        <row r="39">
          <cell r="E39">
            <v>549</v>
          </cell>
        </row>
        <row r="40">
          <cell r="E40">
            <v>568</v>
          </cell>
        </row>
        <row r="41">
          <cell r="E41">
            <v>569</v>
          </cell>
        </row>
        <row r="42">
          <cell r="E42">
            <v>570</v>
          </cell>
        </row>
        <row r="43">
          <cell r="E43">
            <v>632</v>
          </cell>
        </row>
        <row r="44">
          <cell r="E44">
            <v>659</v>
          </cell>
        </row>
        <row r="45">
          <cell r="E45">
            <v>660</v>
          </cell>
        </row>
        <row r="46">
          <cell r="E46">
            <v>673</v>
          </cell>
        </row>
        <row r="47">
          <cell r="E47">
            <v>700</v>
          </cell>
        </row>
        <row r="48">
          <cell r="E48">
            <v>707</v>
          </cell>
        </row>
        <row r="49">
          <cell r="E49">
            <v>732</v>
          </cell>
        </row>
        <row r="50">
          <cell r="E50">
            <v>734</v>
          </cell>
        </row>
        <row r="51">
          <cell r="E51">
            <v>747</v>
          </cell>
        </row>
        <row r="52">
          <cell r="E52">
            <v>748</v>
          </cell>
        </row>
        <row r="53">
          <cell r="E53">
            <v>762</v>
          </cell>
        </row>
        <row r="54">
          <cell r="E54">
            <v>768</v>
          </cell>
        </row>
        <row r="55">
          <cell r="E55">
            <v>784</v>
          </cell>
        </row>
        <row r="56">
          <cell r="E56">
            <v>785</v>
          </cell>
        </row>
        <row r="57">
          <cell r="E57">
            <v>791</v>
          </cell>
        </row>
        <row r="58">
          <cell r="E58">
            <v>806</v>
          </cell>
        </row>
        <row r="59">
          <cell r="E59">
            <v>811</v>
          </cell>
        </row>
        <row r="60">
          <cell r="E60">
            <v>813</v>
          </cell>
        </row>
        <row r="61">
          <cell r="E61">
            <v>820</v>
          </cell>
        </row>
        <row r="62">
          <cell r="E62">
            <v>822</v>
          </cell>
        </row>
        <row r="63">
          <cell r="E63">
            <v>825</v>
          </cell>
        </row>
        <row r="64">
          <cell r="E64">
            <v>844</v>
          </cell>
        </row>
        <row r="65">
          <cell r="E65">
            <v>845</v>
          </cell>
        </row>
        <row r="66">
          <cell r="E66">
            <v>854</v>
          </cell>
        </row>
        <row r="67">
          <cell r="E67">
            <v>856</v>
          </cell>
        </row>
        <row r="68">
          <cell r="E68">
            <v>857</v>
          </cell>
        </row>
        <row r="69">
          <cell r="E69">
            <v>862</v>
          </cell>
        </row>
        <row r="70">
          <cell r="E70">
            <v>877</v>
          </cell>
        </row>
        <row r="71">
          <cell r="E71">
            <v>878</v>
          </cell>
        </row>
        <row r="72">
          <cell r="E72">
            <v>879</v>
          </cell>
        </row>
        <row r="73">
          <cell r="E73">
            <v>880</v>
          </cell>
        </row>
        <row r="74">
          <cell r="E74">
            <v>881</v>
          </cell>
        </row>
        <row r="75">
          <cell r="E75">
            <v>906</v>
          </cell>
        </row>
        <row r="76">
          <cell r="E76">
            <v>907</v>
          </cell>
        </row>
        <row r="77">
          <cell r="E77">
            <v>911</v>
          </cell>
        </row>
        <row r="78">
          <cell r="E78">
            <v>922</v>
          </cell>
        </row>
        <row r="79">
          <cell r="E79">
            <v>923</v>
          </cell>
        </row>
        <row r="80">
          <cell r="E80">
            <v>925</v>
          </cell>
        </row>
        <row r="81">
          <cell r="E81">
            <v>941</v>
          </cell>
        </row>
        <row r="82">
          <cell r="E82">
            <v>943</v>
          </cell>
        </row>
        <row r="83">
          <cell r="E83">
            <v>949</v>
          </cell>
        </row>
        <row r="84">
          <cell r="E84">
            <v>950</v>
          </cell>
        </row>
        <row r="85">
          <cell r="E85">
            <v>959</v>
          </cell>
        </row>
        <row r="86">
          <cell r="E86">
            <v>960</v>
          </cell>
        </row>
        <row r="87">
          <cell r="E87">
            <v>971</v>
          </cell>
        </row>
        <row r="88">
          <cell r="E88">
            <v>972</v>
          </cell>
        </row>
        <row r="89">
          <cell r="E89">
            <v>975</v>
          </cell>
        </row>
        <row r="90">
          <cell r="E90">
            <v>976</v>
          </cell>
        </row>
        <row r="91">
          <cell r="E91">
            <v>977</v>
          </cell>
        </row>
        <row r="92">
          <cell r="E92">
            <v>978</v>
          </cell>
        </row>
        <row r="93">
          <cell r="E93">
            <v>979</v>
          </cell>
        </row>
        <row r="94">
          <cell r="E94">
            <v>982</v>
          </cell>
        </row>
        <row r="95">
          <cell r="E95">
            <v>983</v>
          </cell>
        </row>
        <row r="96">
          <cell r="E96">
            <v>984</v>
          </cell>
        </row>
        <row r="97">
          <cell r="E97">
            <v>985</v>
          </cell>
        </row>
        <row r="98">
          <cell r="E98">
            <v>989</v>
          </cell>
        </row>
        <row r="99">
          <cell r="E99">
            <v>990</v>
          </cell>
        </row>
        <row r="100">
          <cell r="E100">
            <v>996</v>
          </cell>
        </row>
        <row r="101">
          <cell r="E101">
            <v>1001</v>
          </cell>
        </row>
        <row r="102">
          <cell r="E102">
            <v>1004</v>
          </cell>
        </row>
        <row r="103">
          <cell r="E103">
            <v>1026</v>
          </cell>
        </row>
        <row r="104">
          <cell r="E104">
            <v>1029</v>
          </cell>
        </row>
        <row r="105">
          <cell r="E105">
            <v>1033</v>
          </cell>
        </row>
        <row r="106">
          <cell r="E106">
            <v>1048</v>
          </cell>
        </row>
        <row r="107">
          <cell r="E107">
            <v>1050</v>
          </cell>
        </row>
        <row r="108">
          <cell r="E108">
            <v>1052</v>
          </cell>
        </row>
        <row r="109">
          <cell r="E109">
            <v>1053</v>
          </cell>
        </row>
        <row r="110">
          <cell r="E110">
            <v>1054</v>
          </cell>
        </row>
        <row r="111">
          <cell r="E111">
            <v>1055</v>
          </cell>
        </row>
        <row r="112">
          <cell r="E112">
            <v>1078</v>
          </cell>
        </row>
        <row r="113">
          <cell r="E113">
            <v>1079</v>
          </cell>
        </row>
        <row r="114">
          <cell r="E114">
            <v>1151</v>
          </cell>
        </row>
        <row r="115">
          <cell r="E115">
            <v>1152</v>
          </cell>
        </row>
        <row r="116">
          <cell r="E116">
            <v>1153</v>
          </cell>
        </row>
        <row r="117">
          <cell r="E117">
            <v>1169</v>
          </cell>
        </row>
        <row r="118">
          <cell r="E118">
            <v>1171</v>
          </cell>
        </row>
        <row r="119">
          <cell r="E119">
            <v>1192</v>
          </cell>
        </row>
        <row r="120">
          <cell r="E120">
            <v>1204</v>
          </cell>
        </row>
        <row r="121">
          <cell r="E121">
            <v>1213</v>
          </cell>
        </row>
        <row r="122">
          <cell r="E122">
            <v>1218</v>
          </cell>
        </row>
        <row r="123">
          <cell r="E123">
            <v>1242</v>
          </cell>
        </row>
        <row r="124">
          <cell r="E124">
            <v>1244</v>
          </cell>
        </row>
        <row r="125">
          <cell r="E125">
            <v>1248</v>
          </cell>
        </row>
        <row r="126">
          <cell r="E126">
            <v>1249</v>
          </cell>
        </row>
        <row r="127">
          <cell r="E127">
            <v>1252</v>
          </cell>
        </row>
        <row r="128">
          <cell r="E128">
            <v>1254</v>
          </cell>
        </row>
        <row r="129">
          <cell r="E129">
            <v>1257</v>
          </cell>
        </row>
        <row r="130">
          <cell r="E130">
            <v>1258</v>
          </cell>
        </row>
        <row r="131">
          <cell r="E131">
            <v>1260</v>
          </cell>
        </row>
        <row r="132">
          <cell r="E132">
            <v>1261</v>
          </cell>
        </row>
        <row r="133">
          <cell r="E133">
            <v>1262</v>
          </cell>
        </row>
        <row r="134">
          <cell r="E134">
            <v>1274</v>
          </cell>
        </row>
        <row r="135">
          <cell r="E135">
            <v>1277</v>
          </cell>
        </row>
        <row r="136">
          <cell r="E136">
            <v>1283</v>
          </cell>
        </row>
        <row r="137">
          <cell r="E137">
            <v>1284</v>
          </cell>
        </row>
        <row r="138">
          <cell r="E138">
            <v>1285</v>
          </cell>
        </row>
        <row r="139">
          <cell r="E139">
            <v>1286</v>
          </cell>
        </row>
        <row r="140">
          <cell r="E140">
            <v>1287</v>
          </cell>
        </row>
        <row r="141">
          <cell r="E141">
            <v>1290</v>
          </cell>
        </row>
        <row r="142">
          <cell r="E142">
            <v>1291</v>
          </cell>
        </row>
        <row r="143">
          <cell r="E143">
            <v>1292</v>
          </cell>
        </row>
        <row r="144">
          <cell r="E144">
            <v>1293</v>
          </cell>
        </row>
        <row r="145">
          <cell r="E145">
            <v>1294</v>
          </cell>
        </row>
        <row r="146">
          <cell r="E146">
            <v>1295</v>
          </cell>
        </row>
        <row r="147">
          <cell r="E147">
            <v>1297</v>
          </cell>
        </row>
        <row r="148">
          <cell r="E148">
            <v>1298</v>
          </cell>
        </row>
        <row r="149">
          <cell r="E149">
            <v>1299</v>
          </cell>
        </row>
        <row r="150">
          <cell r="E150">
            <v>1300</v>
          </cell>
        </row>
        <row r="151">
          <cell r="E151">
            <v>1304</v>
          </cell>
        </row>
        <row r="152">
          <cell r="E152">
            <v>1305</v>
          </cell>
        </row>
        <row r="153">
          <cell r="E153">
            <v>1306</v>
          </cell>
        </row>
        <row r="154">
          <cell r="E154">
            <v>1307</v>
          </cell>
        </row>
        <row r="155">
          <cell r="E155">
            <v>1308</v>
          </cell>
        </row>
        <row r="156">
          <cell r="E156">
            <v>1309</v>
          </cell>
        </row>
        <row r="157">
          <cell r="E157">
            <v>1311</v>
          </cell>
        </row>
        <row r="158">
          <cell r="E158">
            <v>1318</v>
          </cell>
        </row>
        <row r="159">
          <cell r="E159">
            <v>1330</v>
          </cell>
        </row>
        <row r="160">
          <cell r="E160">
            <v>1354</v>
          </cell>
        </row>
        <row r="161">
          <cell r="E161">
            <v>1355</v>
          </cell>
        </row>
        <row r="162">
          <cell r="E162">
            <v>1356</v>
          </cell>
        </row>
        <row r="163">
          <cell r="E163">
            <v>1357</v>
          </cell>
        </row>
        <row r="164">
          <cell r="E164">
            <v>1358</v>
          </cell>
        </row>
        <row r="165">
          <cell r="E165">
            <v>1359</v>
          </cell>
        </row>
        <row r="166">
          <cell r="E166">
            <v>1373</v>
          </cell>
        </row>
        <row r="167">
          <cell r="E167">
            <v>1379</v>
          </cell>
        </row>
        <row r="168">
          <cell r="E168">
            <v>1382</v>
          </cell>
        </row>
        <row r="169">
          <cell r="E169">
            <v>1385</v>
          </cell>
        </row>
        <row r="170">
          <cell r="E170">
            <v>1386</v>
          </cell>
        </row>
        <row r="171">
          <cell r="E171">
            <v>1404</v>
          </cell>
        </row>
        <row r="172">
          <cell r="E172">
            <v>3401</v>
          </cell>
        </row>
        <row r="173">
          <cell r="E173">
            <v>3402</v>
          </cell>
        </row>
        <row r="174">
          <cell r="E174">
            <v>3404</v>
          </cell>
        </row>
        <row r="175">
          <cell r="E175">
            <v>3406</v>
          </cell>
        </row>
        <row r="176">
          <cell r="E176">
            <v>3407</v>
          </cell>
        </row>
        <row r="177">
          <cell r="E177">
            <v>3409</v>
          </cell>
        </row>
        <row r="178">
          <cell r="E178">
            <v>3410</v>
          </cell>
        </row>
        <row r="179">
          <cell r="E179">
            <v>4247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line Summary"/>
      <sheetName val="Pipeline"/>
      <sheetName val="BB"/>
      <sheetName val="NTR (RFP)"/>
      <sheetName val="NTR (Conventional)"/>
    </sheetNames>
    <sheetDataSet>
      <sheetData sheetId="0"/>
      <sheetData sheetId="1"/>
      <sheetData sheetId="2" refreshError="1">
        <row r="2">
          <cell r="A2" t="str">
            <v>Oxford MS W Jackson at Intermural</v>
          </cell>
          <cell r="B2" t="str">
            <v>Pre Approval</v>
          </cell>
          <cell r="C2">
            <v>976633</v>
          </cell>
          <cell r="E2">
            <v>40</v>
          </cell>
          <cell r="F2" t="str">
            <v>SCC-S</v>
          </cell>
          <cell r="G2" t="str">
            <v>47 - Southeast</v>
          </cell>
          <cell r="H2">
            <v>1962</v>
          </cell>
          <cell r="K2" t="str">
            <v>Stephen Ortega</v>
          </cell>
          <cell r="L2" t="str">
            <v>Chris Varney</v>
          </cell>
          <cell r="M2" t="str">
            <v>9/29/2006</v>
          </cell>
          <cell r="N2" t="str">
            <v>12/8/2006</v>
          </cell>
          <cell r="O2" t="str">
            <v>10/16/2006</v>
          </cell>
          <cell r="P2" t="str">
            <v>12/11/2006</v>
          </cell>
        </row>
        <row r="3">
          <cell r="A3" t="str">
            <v>Gainesville GA Dawsonville Hwy at Shallowford Rd</v>
          </cell>
          <cell r="B3" t="str">
            <v>Pre Approval</v>
          </cell>
          <cell r="C3">
            <v>976621</v>
          </cell>
          <cell r="E3">
            <v>59</v>
          </cell>
          <cell r="F3" t="str">
            <v>SCC-S</v>
          </cell>
          <cell r="G3" t="str">
            <v>47 - Southeast</v>
          </cell>
          <cell r="H3">
            <v>1600</v>
          </cell>
          <cell r="K3" t="str">
            <v>Stephen Ortega</v>
          </cell>
          <cell r="L3" t="str">
            <v>Chris Varney</v>
          </cell>
          <cell r="M3" t="str">
            <v>9/22/2006</v>
          </cell>
          <cell r="N3" t="str">
            <v>12/1/2006</v>
          </cell>
          <cell r="O3" t="str">
            <v>11/13/2006</v>
          </cell>
          <cell r="P3" t="str">
            <v>1/8/2007</v>
          </cell>
        </row>
        <row r="4">
          <cell r="A4" t="str">
            <v>Baton Rouge LA I-10 and Siegen Ln</v>
          </cell>
          <cell r="B4" t="str">
            <v>Pre Approval</v>
          </cell>
          <cell r="C4">
            <v>976631</v>
          </cell>
          <cell r="E4">
            <v>54</v>
          </cell>
          <cell r="F4" t="str">
            <v>SCC-S</v>
          </cell>
          <cell r="G4" t="str">
            <v>47 - Southeast</v>
          </cell>
          <cell r="H4">
            <v>2000</v>
          </cell>
          <cell r="K4" t="str">
            <v>Stephen Ortega</v>
          </cell>
          <cell r="L4" t="str">
            <v>Chris Varney</v>
          </cell>
          <cell r="M4" t="str">
            <v>9/29/2006</v>
          </cell>
          <cell r="N4" t="str">
            <v>12/6/2006</v>
          </cell>
          <cell r="O4" t="str">
            <v>11/13/2006</v>
          </cell>
          <cell r="P4" t="str">
            <v>1/8/2007</v>
          </cell>
        </row>
        <row r="5">
          <cell r="A5" t="str">
            <v>Terre Haute, IN  - Shoppes of Honey Creek Shopping Center</v>
          </cell>
          <cell r="B5" t="str">
            <v>Pre Approval</v>
          </cell>
          <cell r="C5">
            <v>976502</v>
          </cell>
          <cell r="E5">
            <v>45</v>
          </cell>
          <cell r="F5" t="str">
            <v>SCC-RSA</v>
          </cell>
          <cell r="G5" t="str">
            <v>49 - Midwest</v>
          </cell>
          <cell r="H5">
            <v>1928</v>
          </cell>
          <cell r="K5" t="str">
            <v>Henry  Alva</v>
          </cell>
          <cell r="L5" t="str">
            <v>Kati Lawson</v>
          </cell>
          <cell r="M5" t="str">
            <v>9/29/2006</v>
          </cell>
          <cell r="N5" t="str">
            <v>11/9/2006</v>
          </cell>
          <cell r="O5" t="str">
            <v>11/20/2006</v>
          </cell>
          <cell r="P5" t="str">
            <v>1/15/2007</v>
          </cell>
        </row>
        <row r="6">
          <cell r="A6" t="str">
            <v>Sanford FL 1621 Rinehart Rd</v>
          </cell>
          <cell r="B6" t="str">
            <v>Pre Approval</v>
          </cell>
          <cell r="C6">
            <v>976575</v>
          </cell>
          <cell r="E6">
            <v>92</v>
          </cell>
          <cell r="F6" t="str">
            <v>SCC-S</v>
          </cell>
          <cell r="G6" t="str">
            <v>47 - Southeast</v>
          </cell>
          <cell r="H6">
            <v>2062</v>
          </cell>
          <cell r="K6" t="str">
            <v>Stephen Ortega</v>
          </cell>
          <cell r="L6" t="str">
            <v>Chris Varney</v>
          </cell>
          <cell r="M6" t="str">
            <v>9/15/2006</v>
          </cell>
          <cell r="N6" t="str">
            <v>11/24/2006</v>
          </cell>
          <cell r="O6" t="str">
            <v>11/27/2006</v>
          </cell>
          <cell r="P6" t="str">
            <v>1/22/2007</v>
          </cell>
        </row>
        <row r="7">
          <cell r="A7" t="str">
            <v>San Francisco CA Van Ness</v>
          </cell>
          <cell r="B7" t="str">
            <v>Pre Approval</v>
          </cell>
          <cell r="C7">
            <v>976500</v>
          </cell>
          <cell r="D7">
            <v>289</v>
          </cell>
          <cell r="E7">
            <v>12</v>
          </cell>
          <cell r="F7" t="str">
            <v>Stand Alone</v>
          </cell>
          <cell r="G7" t="str">
            <v>40 - Bay Area</v>
          </cell>
          <cell r="H7">
            <v>6244</v>
          </cell>
          <cell r="K7" t="str">
            <v>Dave  Triplett</v>
          </cell>
          <cell r="M7" t="str">
            <v>9/15/2006</v>
          </cell>
          <cell r="N7" t="str">
            <v>11/10/2006</v>
          </cell>
          <cell r="O7" t="str">
            <v>12/11/2006</v>
          </cell>
          <cell r="P7" t="str">
            <v>1/29/2007</v>
          </cell>
        </row>
        <row r="8">
          <cell r="A8" t="str">
            <v>Baton Rouge LA Bluebonnet at Perkins</v>
          </cell>
          <cell r="B8" t="str">
            <v>Pre Approval</v>
          </cell>
          <cell r="C8">
            <v>976567</v>
          </cell>
          <cell r="E8">
            <v>54</v>
          </cell>
          <cell r="F8" t="str">
            <v>SCC-S</v>
          </cell>
          <cell r="G8" t="str">
            <v>41 - South Central</v>
          </cell>
          <cell r="H8">
            <v>2124</v>
          </cell>
          <cell r="K8" t="str">
            <v>Stephen Ortega</v>
          </cell>
          <cell r="L8" t="str">
            <v>Chris Varney</v>
          </cell>
          <cell r="M8" t="str">
            <v>9/8/2006</v>
          </cell>
          <cell r="N8" t="str">
            <v>11/18/2006</v>
          </cell>
          <cell r="O8" t="str">
            <v>12/11/2006</v>
          </cell>
          <cell r="P8" t="str">
            <v>2/5/2007</v>
          </cell>
        </row>
        <row r="9">
          <cell r="A9" t="str">
            <v>Miami Beach FL Washington Ave at 5th St</v>
          </cell>
          <cell r="B9" t="str">
            <v>Pre Approval</v>
          </cell>
          <cell r="C9">
            <v>976623</v>
          </cell>
          <cell r="E9">
            <v>56</v>
          </cell>
          <cell r="F9" t="str">
            <v>SCC-S</v>
          </cell>
          <cell r="G9" t="str">
            <v>47 - Southeast</v>
          </cell>
          <cell r="H9">
            <v>1666</v>
          </cell>
          <cell r="K9" t="str">
            <v>Stephen Ortega</v>
          </cell>
          <cell r="L9" t="str">
            <v>Chris Varney</v>
          </cell>
          <cell r="M9" t="str">
            <v>9/22/2006</v>
          </cell>
          <cell r="N9" t="str">
            <v>12/1/2006</v>
          </cell>
          <cell r="O9" t="str">
            <v>12/18/2006</v>
          </cell>
          <cell r="P9" t="str">
            <v>2/5/2007</v>
          </cell>
        </row>
        <row r="10">
          <cell r="A10" t="str">
            <v>Memphis TN  Poplar Ave. and Highland</v>
          </cell>
          <cell r="B10" t="str">
            <v>Pre Approval</v>
          </cell>
          <cell r="C10">
            <v>976634</v>
          </cell>
          <cell r="E10">
            <v>43</v>
          </cell>
          <cell r="F10" t="str">
            <v>SCC-S</v>
          </cell>
          <cell r="G10" t="str">
            <v>35 - Heartland</v>
          </cell>
          <cell r="H10">
            <v>1600</v>
          </cell>
          <cell r="K10" t="str">
            <v>Stephen Ortega</v>
          </cell>
          <cell r="L10" t="str">
            <v>Chris Varney</v>
          </cell>
          <cell r="M10" t="str">
            <v>9/29/2006</v>
          </cell>
          <cell r="N10" t="str">
            <v>12/8/2006</v>
          </cell>
          <cell r="O10" t="str">
            <v>12/11/2006</v>
          </cell>
          <cell r="P10" t="str">
            <v>2/5/2007</v>
          </cell>
        </row>
        <row r="11">
          <cell r="A11" t="str">
            <v>Fairfield, OH (Gilmore Square) 510 Kolb Dr</v>
          </cell>
          <cell r="B11" t="str">
            <v>Pre Approval</v>
          </cell>
          <cell r="C11">
            <v>976568</v>
          </cell>
          <cell r="E11">
            <v>69</v>
          </cell>
          <cell r="F11" t="str">
            <v>SCC-S</v>
          </cell>
          <cell r="G11" t="str">
            <v>54 - Northeast</v>
          </cell>
          <cell r="H11">
            <v>2000</v>
          </cell>
          <cell r="K11" t="str">
            <v>Steve Pearson</v>
          </cell>
          <cell r="L11" t="str">
            <v>Brian Huckins</v>
          </cell>
          <cell r="M11" t="str">
            <v>9/15/2006</v>
          </cell>
          <cell r="N11" t="str">
            <v>11/25/2006</v>
          </cell>
          <cell r="O11" t="str">
            <v>12/25/2006</v>
          </cell>
          <cell r="P11" t="str">
            <v>2/12/2007</v>
          </cell>
        </row>
        <row r="12">
          <cell r="A12" t="str">
            <v>Troy, MI - Troy II Retail Plaza</v>
          </cell>
          <cell r="B12" t="str">
            <v>Pre Approval</v>
          </cell>
          <cell r="C12">
            <v>976562</v>
          </cell>
          <cell r="E12">
            <v>52</v>
          </cell>
          <cell r="F12" t="str">
            <v>SCC-S</v>
          </cell>
          <cell r="G12" t="str">
            <v>49 - Midwest</v>
          </cell>
          <cell r="H12">
            <v>1700</v>
          </cell>
          <cell r="I12">
            <v>263005</v>
          </cell>
          <cell r="K12" t="str">
            <v>Steve Pearson</v>
          </cell>
          <cell r="L12" t="str">
            <v>Kati Lawson</v>
          </cell>
          <cell r="M12" t="str">
            <v>9/8/2006</v>
          </cell>
          <cell r="N12" t="str">
            <v>11/17/2006</v>
          </cell>
          <cell r="O12" t="str">
            <v>12/18/2006</v>
          </cell>
          <cell r="P12" t="str">
            <v>2/12/2007</v>
          </cell>
        </row>
        <row r="13">
          <cell r="A13" t="str">
            <v>Pico Rivera CA Whittier Blvd and Rosemead</v>
          </cell>
          <cell r="B13" t="str">
            <v>Pre Approval</v>
          </cell>
          <cell r="C13">
            <v>976622</v>
          </cell>
          <cell r="E13">
            <v>19</v>
          </cell>
          <cell r="F13" t="str">
            <v>SCC-S</v>
          </cell>
          <cell r="G13" t="str">
            <v>39 - SoCal</v>
          </cell>
          <cell r="H13">
            <v>2032</v>
          </cell>
          <cell r="K13" t="str">
            <v>Dave  Triplett</v>
          </cell>
          <cell r="L13" t="str">
            <v>Dennis McKee</v>
          </cell>
          <cell r="M13" t="str">
            <v>9/22/2006</v>
          </cell>
          <cell r="N13" t="str">
            <v>12/2/2006</v>
          </cell>
          <cell r="O13" t="str">
            <v>1/2/2007</v>
          </cell>
          <cell r="P13" t="str">
            <v>2/19/2007</v>
          </cell>
        </row>
        <row r="14">
          <cell r="A14" t="str">
            <v>Spanish Fork, UT Spanish Fork Market Place</v>
          </cell>
          <cell r="B14" t="str">
            <v>Pre Approval</v>
          </cell>
          <cell r="C14">
            <v>976584</v>
          </cell>
          <cell r="E14">
            <v>5</v>
          </cell>
          <cell r="F14" t="str">
            <v>SCC-S</v>
          </cell>
          <cell r="G14" t="str">
            <v>38 - Northwest</v>
          </cell>
          <cell r="H14">
            <v>2000</v>
          </cell>
          <cell r="K14" t="str">
            <v>Dave  Triplett</v>
          </cell>
          <cell r="M14" t="str">
            <v>9/8/2006</v>
          </cell>
          <cell r="N14" t="str">
            <v>11/18/2006</v>
          </cell>
          <cell r="O14" t="str">
            <v>12/25/2006</v>
          </cell>
          <cell r="P14" t="str">
            <v>2/19/2007</v>
          </cell>
        </row>
        <row r="15">
          <cell r="A15" t="str">
            <v>Wausau, WI - NEC I-39 &amp; Hwy N</v>
          </cell>
          <cell r="B15" t="str">
            <v>Pre Approval</v>
          </cell>
          <cell r="C15">
            <v>976501</v>
          </cell>
          <cell r="E15">
            <v>53</v>
          </cell>
          <cell r="F15" t="str">
            <v>LCC</v>
          </cell>
          <cell r="G15" t="str">
            <v>49 - Midwest</v>
          </cell>
          <cell r="H15">
            <v>1948</v>
          </cell>
          <cell r="K15" t="str">
            <v>Henry  Alva</v>
          </cell>
          <cell r="L15" t="str">
            <v>Clair Rose</v>
          </cell>
          <cell r="M15" t="str">
            <v>9/29/2006</v>
          </cell>
          <cell r="N15" t="str">
            <v>11/9/2006</v>
          </cell>
          <cell r="O15" t="str">
            <v>12/18/2006</v>
          </cell>
          <cell r="P15" t="str">
            <v>2/19/2007</v>
          </cell>
        </row>
        <row r="16">
          <cell r="A16" t="str">
            <v>Washington DC 1390 Kenyon St. NW</v>
          </cell>
          <cell r="B16" t="str">
            <v>Pre Approval</v>
          </cell>
          <cell r="C16">
            <v>976576</v>
          </cell>
          <cell r="E16">
            <v>64</v>
          </cell>
          <cell r="F16" t="str">
            <v>SCC-S</v>
          </cell>
          <cell r="G16" t="str">
            <v>45 - Mid-Atlantic</v>
          </cell>
          <cell r="H16">
            <v>2268</v>
          </cell>
          <cell r="K16" t="str">
            <v>Stephen Ortega</v>
          </cell>
          <cell r="L16" t="str">
            <v>Brian Huckins</v>
          </cell>
          <cell r="M16" t="str">
            <v>9/15/2006</v>
          </cell>
          <cell r="N16" t="str">
            <v>11/25/2006</v>
          </cell>
          <cell r="O16" t="str">
            <v>12/18/2006</v>
          </cell>
          <cell r="P16" t="str">
            <v>2/19/2007</v>
          </cell>
        </row>
        <row r="17">
          <cell r="A17" t="str">
            <v>Suwanee GA Peachtree Industrial Rd at Moore Rd</v>
          </cell>
          <cell r="B17" t="str">
            <v>Pre Approval</v>
          </cell>
          <cell r="C17">
            <v>976581</v>
          </cell>
          <cell r="E17">
            <v>59</v>
          </cell>
          <cell r="F17" t="str">
            <v>SCC-S</v>
          </cell>
          <cell r="G17" t="str">
            <v>47 - Southeast</v>
          </cell>
          <cell r="H17">
            <v>1800</v>
          </cell>
          <cell r="K17" t="str">
            <v>Stephen Ortega</v>
          </cell>
          <cell r="L17" t="str">
            <v>Chris Varney</v>
          </cell>
          <cell r="M17" t="str">
            <v>9/15/2006</v>
          </cell>
          <cell r="N17" t="str">
            <v>11/24/2006</v>
          </cell>
          <cell r="O17" t="str">
            <v>12/18/2006</v>
          </cell>
          <cell r="P17" t="str">
            <v>2/19/2007</v>
          </cell>
        </row>
        <row r="18">
          <cell r="A18" t="str">
            <v>Oak Park, MI - Greenfield Rd.</v>
          </cell>
          <cell r="B18" t="str">
            <v>Pre Approval</v>
          </cell>
          <cell r="C18">
            <v>976607</v>
          </cell>
          <cell r="E18">
            <v>52</v>
          </cell>
          <cell r="F18" t="str">
            <v>SCC-S</v>
          </cell>
          <cell r="G18" t="str">
            <v>49 - Midwest</v>
          </cell>
          <cell r="H18">
            <v>2000</v>
          </cell>
          <cell r="K18" t="str">
            <v>Steve Pearson</v>
          </cell>
          <cell r="M18" t="str">
            <v>9/22/2006</v>
          </cell>
          <cell r="N18" t="str">
            <v>12/2/2006</v>
          </cell>
          <cell r="O18" t="str">
            <v>1/1/2007</v>
          </cell>
          <cell r="P18" t="str">
            <v>2/19/2007</v>
          </cell>
        </row>
        <row r="19">
          <cell r="A19" t="str">
            <v>Oak Park Heights, MN - Oak Park Commons</v>
          </cell>
          <cell r="B19" t="str">
            <v>Pre Approval</v>
          </cell>
          <cell r="C19">
            <v>976620</v>
          </cell>
          <cell r="E19">
            <v>41</v>
          </cell>
          <cell r="F19" t="str">
            <v>SCC-S</v>
          </cell>
          <cell r="G19" t="str">
            <v>49 - Midwest</v>
          </cell>
          <cell r="H19">
            <v>1938</v>
          </cell>
          <cell r="K19" t="str">
            <v>Henry  Alva</v>
          </cell>
          <cell r="L19" t="str">
            <v>Brian Huckins</v>
          </cell>
          <cell r="M19" t="str">
            <v>9/29/2006</v>
          </cell>
          <cell r="N19" t="str">
            <v>11/30/2006</v>
          </cell>
          <cell r="O19" t="str">
            <v>1/2/2007</v>
          </cell>
          <cell r="P19" t="str">
            <v>2/26/2007</v>
          </cell>
        </row>
        <row r="20">
          <cell r="A20" t="str">
            <v>Tom's River, NJ-33 Route 37</v>
          </cell>
          <cell r="B20" t="str">
            <v>Pre Approval</v>
          </cell>
          <cell r="C20">
            <v>976439</v>
          </cell>
          <cell r="E20">
            <v>72</v>
          </cell>
          <cell r="F20" t="str">
            <v>SCC-S</v>
          </cell>
          <cell r="G20" t="str">
            <v>45 - Mid-Atlantic</v>
          </cell>
          <cell r="H20">
            <v>2000</v>
          </cell>
          <cell r="I20">
            <v>258488</v>
          </cell>
          <cell r="K20" t="str">
            <v>Steve Pearson</v>
          </cell>
          <cell r="L20" t="str">
            <v>Kim Trignano</v>
          </cell>
          <cell r="M20" t="str">
            <v>9/15/2006</v>
          </cell>
          <cell r="N20" t="str">
            <v>11/24/2006</v>
          </cell>
          <cell r="O20" t="str">
            <v>1/1/2007</v>
          </cell>
          <cell r="P20" t="str">
            <v>2/26/2007</v>
          </cell>
        </row>
        <row r="21">
          <cell r="A21" t="str">
            <v>Placerville CA  Missouri Flat Rd. and Hwy 50</v>
          </cell>
          <cell r="B21" t="str">
            <v>Pre Approval</v>
          </cell>
          <cell r="C21">
            <v>976632</v>
          </cell>
          <cell r="E21">
            <v>11</v>
          </cell>
          <cell r="F21" t="str">
            <v>SCC-S</v>
          </cell>
          <cell r="G21" t="str">
            <v>40 - Bay Area</v>
          </cell>
          <cell r="H21">
            <v>2000</v>
          </cell>
          <cell r="K21" t="str">
            <v>Dave  Triplett</v>
          </cell>
          <cell r="L21" t="str">
            <v>Clair Rose</v>
          </cell>
          <cell r="M21" t="str">
            <v>9/29/2006</v>
          </cell>
          <cell r="N21" t="str">
            <v>12/8/2006</v>
          </cell>
          <cell r="O21" t="str">
            <v>1/8/2007</v>
          </cell>
          <cell r="P21" t="str">
            <v>2/26/2007</v>
          </cell>
        </row>
        <row r="22">
          <cell r="A22" t="str">
            <v>Winter Park FL Fairbanks Ave</v>
          </cell>
          <cell r="B22" t="str">
            <v>Pre Approval</v>
          </cell>
          <cell r="C22">
            <v>976626</v>
          </cell>
          <cell r="E22">
            <v>58</v>
          </cell>
          <cell r="F22" t="str">
            <v>SCC-S</v>
          </cell>
          <cell r="G22" t="str">
            <v>47 - Southeast</v>
          </cell>
          <cell r="H22">
            <v>1638</v>
          </cell>
          <cell r="K22" t="str">
            <v>Stephen Ortega</v>
          </cell>
          <cell r="L22" t="str">
            <v>Chris Varney</v>
          </cell>
          <cell r="M22" t="str">
            <v>9/22/2006</v>
          </cell>
          <cell r="N22" t="str">
            <v>12/1/2006</v>
          </cell>
          <cell r="O22" t="str">
            <v>1/1/2007</v>
          </cell>
          <cell r="P22" t="str">
            <v>2/26/2007</v>
          </cell>
        </row>
        <row r="23">
          <cell r="A23" t="str">
            <v>Seattle WA  600 N. 36th Street</v>
          </cell>
          <cell r="B23" t="str">
            <v>Pre Approval</v>
          </cell>
          <cell r="C23">
            <v>976637</v>
          </cell>
          <cell r="E23">
            <v>38</v>
          </cell>
          <cell r="F23" t="str">
            <v>SCC-S</v>
          </cell>
          <cell r="G23" t="str">
            <v>38 - Northwest</v>
          </cell>
          <cell r="H23">
            <v>1770</v>
          </cell>
          <cell r="K23" t="str">
            <v>Dave  Triplett</v>
          </cell>
          <cell r="M23" t="str">
            <v>10/3/2006</v>
          </cell>
          <cell r="N23" t="str">
            <v>12/13/2006</v>
          </cell>
          <cell r="O23" t="str">
            <v>1/15/2007</v>
          </cell>
          <cell r="P23" t="str">
            <v>3/5/2007</v>
          </cell>
        </row>
        <row r="24">
          <cell r="A24" t="str">
            <v>Draper, UT Draper  South Gate</v>
          </cell>
          <cell r="B24" t="str">
            <v>Pre Approval</v>
          </cell>
          <cell r="C24">
            <v>976583</v>
          </cell>
          <cell r="E24">
            <v>5</v>
          </cell>
          <cell r="F24" t="str">
            <v>SCC-S</v>
          </cell>
          <cell r="G24" t="str">
            <v>38 - Northwest</v>
          </cell>
          <cell r="H24">
            <v>1828</v>
          </cell>
          <cell r="K24" t="str">
            <v>Dave  Triplett</v>
          </cell>
          <cell r="M24" t="str">
            <v>9/8/2006</v>
          </cell>
          <cell r="N24" t="str">
            <v>11/18/2006</v>
          </cell>
          <cell r="O24" t="str">
            <v>2/12/2007</v>
          </cell>
          <cell r="P24" t="str">
            <v>4/9/2007</v>
          </cell>
        </row>
        <row r="25">
          <cell r="A25" t="str">
            <v>Chicago, IL - 30 W. Erie</v>
          </cell>
          <cell r="B25" t="str">
            <v>Pre Approval</v>
          </cell>
          <cell r="C25">
            <v>976574</v>
          </cell>
          <cell r="E25">
            <v>48</v>
          </cell>
          <cell r="F25" t="str">
            <v>SCC-S</v>
          </cell>
          <cell r="G25" t="str">
            <v>49 - Midwest</v>
          </cell>
          <cell r="H25">
            <v>1691</v>
          </cell>
          <cell r="K25" t="str">
            <v>Henry  Alva</v>
          </cell>
          <cell r="L25" t="str">
            <v>Kati Lawson</v>
          </cell>
          <cell r="M25" t="str">
            <v>9/29/2006</v>
          </cell>
          <cell r="N25" t="str">
            <v>11/25/2006</v>
          </cell>
          <cell r="O25" t="str">
            <v>2/19/2007</v>
          </cell>
          <cell r="P25" t="str">
            <v>4/9/2007</v>
          </cell>
        </row>
        <row r="26">
          <cell r="A26" t="str">
            <v>Green Oak, MI - Lee Rd.</v>
          </cell>
          <cell r="B26" t="str">
            <v>Pre Approval</v>
          </cell>
          <cell r="C26">
            <v>976561</v>
          </cell>
          <cell r="E26">
            <v>51</v>
          </cell>
          <cell r="F26" t="str">
            <v>SCC-S</v>
          </cell>
          <cell r="G26" t="str">
            <v>49 - Midwest</v>
          </cell>
          <cell r="H26">
            <v>2000</v>
          </cell>
          <cell r="I26">
            <v>317033</v>
          </cell>
          <cell r="J26">
            <v>287398</v>
          </cell>
          <cell r="K26" t="str">
            <v>Steve Pearson</v>
          </cell>
          <cell r="L26" t="str">
            <v>Kati Lawson</v>
          </cell>
          <cell r="M26" t="str">
            <v>9/8/2006</v>
          </cell>
          <cell r="N26" t="str">
            <v>11/17/2006</v>
          </cell>
          <cell r="O26" t="str">
            <v>2/19/2007</v>
          </cell>
          <cell r="P26" t="str">
            <v>4/16/2007</v>
          </cell>
        </row>
        <row r="27">
          <cell r="A27" t="str">
            <v>Twinsburg, OH - East Aurora Rd &amp; Darrow Rd</v>
          </cell>
          <cell r="B27" t="str">
            <v>Pre Approval</v>
          </cell>
          <cell r="C27">
            <v>976619</v>
          </cell>
          <cell r="E27">
            <v>66</v>
          </cell>
          <cell r="F27" t="str">
            <v>SCC-S</v>
          </cell>
          <cell r="G27" t="str">
            <v>54 - Northeast</v>
          </cell>
          <cell r="H27">
            <v>1714</v>
          </cell>
          <cell r="K27" t="str">
            <v>Steve Pearson</v>
          </cell>
          <cell r="L27" t="str">
            <v>Brian Huckins</v>
          </cell>
          <cell r="M27" t="str">
            <v>9/22/2006</v>
          </cell>
          <cell r="N27" t="str">
            <v>12/2/2006</v>
          </cell>
          <cell r="O27" t="str">
            <v>2/19/2007</v>
          </cell>
          <cell r="P27" t="str">
            <v>4/16/2007</v>
          </cell>
        </row>
        <row r="28">
          <cell r="A28" t="str">
            <v>Greensboro NC 3208 High Point Rd</v>
          </cell>
          <cell r="B28" t="str">
            <v>Pre Approval</v>
          </cell>
          <cell r="C28">
            <v>976559</v>
          </cell>
          <cell r="E28">
            <v>61</v>
          </cell>
          <cell r="F28" t="str">
            <v>SCC-S</v>
          </cell>
          <cell r="G28" t="str">
            <v>45 - Mid-Atlantic</v>
          </cell>
          <cell r="H28">
            <v>2000</v>
          </cell>
          <cell r="K28" t="str">
            <v>Stephen Ortega</v>
          </cell>
          <cell r="M28" t="str">
            <v>9/15/2006</v>
          </cell>
          <cell r="N28" t="str">
            <v>11/25/2006</v>
          </cell>
          <cell r="O28" t="str">
            <v>3/19/2007</v>
          </cell>
          <cell r="P28" t="str">
            <v>5/7/2007</v>
          </cell>
        </row>
        <row r="29">
          <cell r="A29" t="str">
            <v>Suwanee GA Lawrenceville Suwanee Rd &amp; Satellite Blvd</v>
          </cell>
          <cell r="B29" t="str">
            <v>Pre Approval</v>
          </cell>
          <cell r="C29">
            <v>976579</v>
          </cell>
          <cell r="E29">
            <v>59</v>
          </cell>
          <cell r="F29" t="str">
            <v>SCC-S</v>
          </cell>
          <cell r="G29" t="str">
            <v>47 - Southeast</v>
          </cell>
          <cell r="H29">
            <v>1800</v>
          </cell>
          <cell r="K29" t="str">
            <v>Stephen Ortega</v>
          </cell>
          <cell r="L29" t="str">
            <v>Chris Varney</v>
          </cell>
          <cell r="M29" t="str">
            <v>9/15/2006</v>
          </cell>
          <cell r="N29" t="str">
            <v>11/24/2006</v>
          </cell>
          <cell r="O29" t="str">
            <v>3/12/2007</v>
          </cell>
          <cell r="P29" t="str">
            <v>5/7/2007</v>
          </cell>
        </row>
        <row r="30">
          <cell r="A30" t="str">
            <v>Montgomery AL Atlanta Hwy and Brown Springs Rd</v>
          </cell>
          <cell r="B30" t="str">
            <v>Pre Approval</v>
          </cell>
          <cell r="C30">
            <v>976577</v>
          </cell>
          <cell r="E30">
            <v>55</v>
          </cell>
          <cell r="F30" t="str">
            <v>SCC-S</v>
          </cell>
          <cell r="G30" t="str">
            <v>47 - Southeast</v>
          </cell>
          <cell r="H30">
            <v>1950</v>
          </cell>
          <cell r="K30" t="str">
            <v>Stephen Ortega</v>
          </cell>
          <cell r="L30" t="str">
            <v>Chris Varney</v>
          </cell>
          <cell r="M30" t="str">
            <v>9/15/2006</v>
          </cell>
          <cell r="N30" t="str">
            <v>11/25/2006</v>
          </cell>
          <cell r="O30" t="str">
            <v>3/12/2007</v>
          </cell>
          <cell r="P30" t="str">
            <v>5/7/2007</v>
          </cell>
        </row>
        <row r="31">
          <cell r="A31" t="str">
            <v>Rockville MD 200 E Middle Lane</v>
          </cell>
          <cell r="B31" t="str">
            <v>Pre Approval</v>
          </cell>
          <cell r="C31">
            <v>976630</v>
          </cell>
          <cell r="E31">
            <v>64</v>
          </cell>
          <cell r="F31" t="str">
            <v>SCC-S</v>
          </cell>
          <cell r="G31" t="str">
            <v>47 - Southeast</v>
          </cell>
          <cell r="H31">
            <v>1745</v>
          </cell>
          <cell r="K31" t="str">
            <v>Stephen Ortega</v>
          </cell>
          <cell r="L31" t="str">
            <v>Brian Huckins</v>
          </cell>
          <cell r="M31" t="str">
            <v>9/22/2006</v>
          </cell>
          <cell r="N31" t="str">
            <v>12/2/2006</v>
          </cell>
          <cell r="O31" t="str">
            <v>3/19/2007</v>
          </cell>
          <cell r="P31" t="str">
            <v>5/7/2007</v>
          </cell>
        </row>
        <row r="32">
          <cell r="A32" t="str">
            <v>Selma TX I35 at 1604</v>
          </cell>
          <cell r="B32" t="str">
            <v>Pre Approval</v>
          </cell>
          <cell r="C32">
            <v>976618</v>
          </cell>
          <cell r="E32">
            <v>30</v>
          </cell>
          <cell r="F32" t="str">
            <v>SCC-S</v>
          </cell>
          <cell r="G32" t="str">
            <v>41 - South Central</v>
          </cell>
          <cell r="H32">
            <v>2000</v>
          </cell>
          <cell r="K32" t="str">
            <v>Henry  Alva</v>
          </cell>
          <cell r="L32" t="str">
            <v>Lisa Loreto</v>
          </cell>
          <cell r="M32" t="str">
            <v>9/15/2006</v>
          </cell>
          <cell r="N32" t="str">
            <v>11/25/2006</v>
          </cell>
          <cell r="O32" t="str">
            <v>3/19/2007</v>
          </cell>
          <cell r="P32" t="str">
            <v>5/14/2007</v>
          </cell>
        </row>
        <row r="33">
          <cell r="A33" t="str">
            <v>Greenville SC Woodruff Rd and Market Point Drive</v>
          </cell>
          <cell r="B33" t="str">
            <v>Pre Approval</v>
          </cell>
          <cell r="C33">
            <v>976636</v>
          </cell>
          <cell r="E33">
            <v>60</v>
          </cell>
          <cell r="F33" t="str">
            <v>SCC-S</v>
          </cell>
          <cell r="G33" t="str">
            <v>45 - Mid-Atlantic</v>
          </cell>
          <cell r="H33">
            <v>2000</v>
          </cell>
          <cell r="K33" t="str">
            <v>Stephen Ortega</v>
          </cell>
          <cell r="M33" t="str">
            <v>9/29/2006</v>
          </cell>
          <cell r="N33" t="str">
            <v>12/9/2006</v>
          </cell>
          <cell r="O33" t="str">
            <v>4/2/2007</v>
          </cell>
          <cell r="P33" t="str">
            <v>5/21/2007</v>
          </cell>
        </row>
        <row r="34">
          <cell r="A34" t="str">
            <v>Cape Girardeau MO 263 Farrar Drive</v>
          </cell>
          <cell r="B34" t="str">
            <v>Pre Approval</v>
          </cell>
          <cell r="C34">
            <v>976570</v>
          </cell>
          <cell r="E34">
            <v>39</v>
          </cell>
          <cell r="F34" t="str">
            <v>SCC-SA</v>
          </cell>
          <cell r="G34" t="str">
            <v>49 - Midwest</v>
          </cell>
          <cell r="H34">
            <v>2000</v>
          </cell>
          <cell r="K34" t="str">
            <v>Henry  Alva</v>
          </cell>
          <cell r="L34" t="str">
            <v>Jim Corsano</v>
          </cell>
          <cell r="M34" t="str">
            <v>9/15/2006</v>
          </cell>
          <cell r="N34" t="str">
            <v>11/25/2006</v>
          </cell>
          <cell r="O34" t="str">
            <v>4/16/2007</v>
          </cell>
          <cell r="P34" t="str">
            <v>6/11/2007</v>
          </cell>
        </row>
        <row r="35">
          <cell r="A35" t="str">
            <v>Cary NC Tryon Rd and Walnut St</v>
          </cell>
          <cell r="B35" t="str">
            <v>Pre Approval</v>
          </cell>
          <cell r="C35">
            <v>976374</v>
          </cell>
          <cell r="E35">
            <v>61</v>
          </cell>
          <cell r="F35" t="str">
            <v>SCC-S</v>
          </cell>
          <cell r="G35" t="str">
            <v>45 - Mid-Atlantic</v>
          </cell>
          <cell r="H35">
            <v>1989</v>
          </cell>
          <cell r="K35" t="str">
            <v>Stephen Ortega</v>
          </cell>
          <cell r="L35" t="str">
            <v>Lisa Dews</v>
          </cell>
          <cell r="M35" t="str">
            <v>9/22/2006</v>
          </cell>
          <cell r="N35" t="str">
            <v>12/2/2006</v>
          </cell>
          <cell r="O35" t="str">
            <v>5/28/2007</v>
          </cell>
          <cell r="P35" t="str">
            <v>7/16/2007</v>
          </cell>
        </row>
        <row r="36">
          <cell r="A36" t="str">
            <v>Salisbury NC 1301 E Innes St.</v>
          </cell>
          <cell r="B36" t="str">
            <v>Pre Approval</v>
          </cell>
          <cell r="C36">
            <v>976635</v>
          </cell>
          <cell r="E36">
            <v>60</v>
          </cell>
          <cell r="F36" t="str">
            <v>SCC-SA</v>
          </cell>
          <cell r="G36" t="str">
            <v>45 - Mid-Atlantic</v>
          </cell>
          <cell r="H36">
            <v>1980</v>
          </cell>
          <cell r="K36" t="str">
            <v>Stephen Ortega</v>
          </cell>
          <cell r="M36" t="str">
            <v>9/29/2006</v>
          </cell>
          <cell r="N36" t="str">
            <v>12/9/2006</v>
          </cell>
          <cell r="O36" t="str">
            <v>6/18/2007</v>
          </cell>
          <cell r="P36" t="str">
            <v>8/6/2007</v>
          </cell>
        </row>
        <row r="37">
          <cell r="A37" t="str">
            <v>Hollywood FL Young Circle</v>
          </cell>
          <cell r="B37" t="str">
            <v>Pre Approval</v>
          </cell>
          <cell r="C37">
            <v>976493</v>
          </cell>
          <cell r="E37">
            <v>56</v>
          </cell>
          <cell r="F37" t="str">
            <v>SCC-S</v>
          </cell>
          <cell r="G37" t="str">
            <v>47 - Southeast</v>
          </cell>
          <cell r="H37">
            <v>2113</v>
          </cell>
          <cell r="K37" t="str">
            <v>Stephen Ortega</v>
          </cell>
          <cell r="L37" t="str">
            <v>Chris Varney</v>
          </cell>
          <cell r="M37" t="str">
            <v>9/29/2006</v>
          </cell>
          <cell r="N37" t="str">
            <v>12/8/2006</v>
          </cell>
          <cell r="O37" t="str">
            <v>6/18/2007</v>
          </cell>
          <cell r="P37" t="str">
            <v>8/13/2007</v>
          </cell>
        </row>
        <row r="38">
          <cell r="A38" t="str">
            <v>Stockton, CA  Hammer Ln and Lower Sacramento Rd</v>
          </cell>
          <cell r="B38" t="str">
            <v>Pre Approval</v>
          </cell>
          <cell r="C38">
            <v>976627</v>
          </cell>
          <cell r="E38">
            <v>15</v>
          </cell>
          <cell r="F38" t="str">
            <v>SCC-S</v>
          </cell>
          <cell r="G38" t="str">
            <v>40 - Bay Area</v>
          </cell>
          <cell r="H38">
            <v>1800</v>
          </cell>
          <cell r="K38" t="str">
            <v>Dave  Triplett</v>
          </cell>
          <cell r="L38" t="str">
            <v>Clair Rose</v>
          </cell>
          <cell r="M38" t="str">
            <v>9/29/2006</v>
          </cell>
          <cell r="N38" t="str">
            <v>12/5/2006</v>
          </cell>
          <cell r="O38" t="str">
            <v>6/18/2007</v>
          </cell>
          <cell r="P38" t="str">
            <v>8/13/2007</v>
          </cell>
        </row>
        <row r="39">
          <cell r="A39" t="str">
            <v>Allentown PA Route 22 and Airport Road</v>
          </cell>
          <cell r="B39" t="str">
            <v>Pre Approval</v>
          </cell>
          <cell r="C39">
            <v>976274</v>
          </cell>
          <cell r="D39">
            <v>1460</v>
          </cell>
          <cell r="E39">
            <v>45</v>
          </cell>
          <cell r="F39" t="str">
            <v>SCC-S</v>
          </cell>
          <cell r="G39" t="str">
            <v>45 - Mid-Atlantic</v>
          </cell>
          <cell r="H39">
            <v>2000</v>
          </cell>
          <cell r="I39">
            <v>265303</v>
          </cell>
          <cell r="K39" t="str">
            <v>Steve Pearson</v>
          </cell>
          <cell r="L39" t="str">
            <v>Jim Corsano</v>
          </cell>
          <cell r="M39" t="str">
            <v>9/22/2006</v>
          </cell>
          <cell r="N39" t="str">
            <v>12/1/2006</v>
          </cell>
          <cell r="O39" t="str">
            <v>7/23/2007</v>
          </cell>
          <cell r="P39" t="str">
            <v>9/10/2007</v>
          </cell>
        </row>
        <row r="40">
          <cell r="A40" t="str">
            <v>Frederick, MD - Presidents Court Shopping Center</v>
          </cell>
          <cell r="B40" t="str">
            <v>Pre Approval</v>
          </cell>
          <cell r="C40">
            <v>976625</v>
          </cell>
          <cell r="E40">
            <v>65</v>
          </cell>
          <cell r="F40" t="str">
            <v>SCC-S</v>
          </cell>
          <cell r="G40" t="str">
            <v>45 - Mid-Atlantic</v>
          </cell>
          <cell r="H40">
            <v>2000</v>
          </cell>
          <cell r="K40" t="str">
            <v>Steve Pearson</v>
          </cell>
          <cell r="L40" t="str">
            <v>Brian Huckins</v>
          </cell>
          <cell r="M40" t="str">
            <v>9/22/2006</v>
          </cell>
          <cell r="N40" t="str">
            <v>12/2/2006</v>
          </cell>
          <cell r="O40" t="str">
            <v>8/20/2007</v>
          </cell>
          <cell r="P40" t="str">
            <v>10/15/2007</v>
          </cell>
        </row>
        <row r="41">
          <cell r="A41" t="str">
            <v>El Dorado, CA  Latrobe and White Rock</v>
          </cell>
          <cell r="B41" t="str">
            <v>Pre Approval</v>
          </cell>
          <cell r="C41">
            <v>976638</v>
          </cell>
          <cell r="E41">
            <v>11</v>
          </cell>
          <cell r="F41" t="str">
            <v>SCC-S</v>
          </cell>
          <cell r="G41" t="str">
            <v>40 - Bay Area</v>
          </cell>
          <cell r="H41">
            <v>1965</v>
          </cell>
          <cell r="K41" t="str">
            <v>Dave  Triplett</v>
          </cell>
          <cell r="L41" t="str">
            <v>Clair Rose</v>
          </cell>
          <cell r="M41" t="str">
            <v>10/6/2006</v>
          </cell>
          <cell r="N41" t="str">
            <v>12/15/2006</v>
          </cell>
          <cell r="O41" t="str">
            <v>9/24/2007</v>
          </cell>
          <cell r="P41" t="str">
            <v>11/19/2007</v>
          </cell>
        </row>
        <row r="42">
          <cell r="A42" t="str">
            <v>Hagerstown, Maryland Hagerstown Plaza</v>
          </cell>
          <cell r="B42" t="str">
            <v>Pre Approval</v>
          </cell>
          <cell r="C42">
            <v>976578</v>
          </cell>
          <cell r="E42">
            <v>65</v>
          </cell>
          <cell r="F42" t="str">
            <v>SCC-S</v>
          </cell>
          <cell r="G42" t="str">
            <v>45 - Mid-Atlantic</v>
          </cell>
          <cell r="H42">
            <v>2000</v>
          </cell>
          <cell r="K42" t="str">
            <v>Steve Pearson</v>
          </cell>
          <cell r="L42" t="str">
            <v>Brian Huckins</v>
          </cell>
          <cell r="M42" t="str">
            <v>9/22/2006</v>
          </cell>
          <cell r="N42" t="str">
            <v>11/25/2006</v>
          </cell>
          <cell r="O42" t="str">
            <v>1/17/2008</v>
          </cell>
          <cell r="P42" t="str">
            <v>3/10/2008</v>
          </cell>
        </row>
        <row r="43">
          <cell r="A43" t="str">
            <v>San Antonio TX 410 at San Pedro</v>
          </cell>
          <cell r="B43" t="str">
            <v>Pre Approval</v>
          </cell>
          <cell r="C43">
            <v>976624</v>
          </cell>
          <cell r="E43">
            <v>30</v>
          </cell>
          <cell r="F43" t="str">
            <v>SCC-S</v>
          </cell>
          <cell r="G43" t="str">
            <v>41 - South Central</v>
          </cell>
          <cell r="H43">
            <v>1800</v>
          </cell>
          <cell r="K43" t="str">
            <v>Henry  Alva</v>
          </cell>
          <cell r="L43" t="str">
            <v>Lisa Loreto</v>
          </cell>
          <cell r="M43" t="str">
            <v>9/22/2006</v>
          </cell>
          <cell r="N43" t="str">
            <v>12/4/2006</v>
          </cell>
          <cell r="O43" t="str">
            <v>4/14/2008</v>
          </cell>
          <cell r="P43" t="str">
            <v>6/9/2008</v>
          </cell>
        </row>
        <row r="44">
          <cell r="A44" t="str">
            <v>Jenkintown PA Old York Road</v>
          </cell>
          <cell r="B44" t="str">
            <v>REC Approved</v>
          </cell>
          <cell r="C44">
            <v>976247</v>
          </cell>
          <cell r="D44">
            <v>1453</v>
          </cell>
          <cell r="E44">
            <v>71</v>
          </cell>
          <cell r="F44" t="str">
            <v>SCC-S</v>
          </cell>
          <cell r="G44" t="str">
            <v>45 - Mid-Atlantic</v>
          </cell>
          <cell r="H44">
            <v>2000</v>
          </cell>
          <cell r="I44">
            <v>225000</v>
          </cell>
          <cell r="K44" t="str">
            <v>Steve Pearson</v>
          </cell>
          <cell r="L44" t="str">
            <v>Jim Corsano</v>
          </cell>
          <cell r="M44" t="str">
            <v>3/30/2006</v>
          </cell>
          <cell r="N44" t="str">
            <v>7/31/2006</v>
          </cell>
          <cell r="O44" t="str">
            <v>9/11/2006</v>
          </cell>
          <cell r="P44" t="str">
            <v>10/30/2006</v>
          </cell>
        </row>
        <row r="45">
          <cell r="A45" t="str">
            <v>Mokena IL</v>
          </cell>
          <cell r="B45" t="str">
            <v>REC Approved</v>
          </cell>
          <cell r="C45">
            <v>976336</v>
          </cell>
          <cell r="D45">
            <v>1485</v>
          </cell>
          <cell r="E45">
            <v>49</v>
          </cell>
          <cell r="F45" t="str">
            <v>SCC-S</v>
          </cell>
          <cell r="G45" t="str">
            <v>49 - Midwest</v>
          </cell>
          <cell r="H45">
            <v>1660</v>
          </cell>
          <cell r="I45">
            <v>246010</v>
          </cell>
          <cell r="K45" t="str">
            <v>Henry  Alva</v>
          </cell>
          <cell r="L45" t="str">
            <v>Clair Rose</v>
          </cell>
          <cell r="M45" t="str">
            <v>6/16/2006</v>
          </cell>
          <cell r="N45" t="str">
            <v>9/5/2006</v>
          </cell>
          <cell r="O45" t="str">
            <v>9/11/2006</v>
          </cell>
          <cell r="P45" t="str">
            <v>10/30/2006</v>
          </cell>
        </row>
        <row r="46">
          <cell r="A46" t="str">
            <v>Greenville SC Pelham Road and The Parkway</v>
          </cell>
          <cell r="B46" t="str">
            <v>REC Approved</v>
          </cell>
          <cell r="C46">
            <v>976343</v>
          </cell>
          <cell r="D46">
            <v>1486</v>
          </cell>
          <cell r="E46">
            <v>60</v>
          </cell>
          <cell r="F46" t="str">
            <v>SCC-S</v>
          </cell>
          <cell r="G46" t="str">
            <v>45 - Mid-Atlantic</v>
          </cell>
          <cell r="H46">
            <v>1980</v>
          </cell>
          <cell r="I46">
            <v>267610</v>
          </cell>
          <cell r="K46" t="str">
            <v>Stephen Ortega</v>
          </cell>
          <cell r="L46" t="str">
            <v>Sealey Camp</v>
          </cell>
          <cell r="M46" t="str">
            <v>6/16/2006</v>
          </cell>
          <cell r="N46" t="str">
            <v>8/25/2006</v>
          </cell>
          <cell r="O46" t="str">
            <v>9/11/2006</v>
          </cell>
          <cell r="P46" t="str">
            <v>10/30/2006</v>
          </cell>
        </row>
        <row r="47">
          <cell r="A47" t="str">
            <v>Altamonte Springs FL Altamonte Drive</v>
          </cell>
          <cell r="B47" t="str">
            <v>REC Approved</v>
          </cell>
          <cell r="C47">
            <v>976337</v>
          </cell>
          <cell r="D47">
            <v>1494</v>
          </cell>
          <cell r="E47">
            <v>58</v>
          </cell>
          <cell r="F47" t="str">
            <v>SCC-S</v>
          </cell>
          <cell r="G47" t="str">
            <v>47 - Southeast</v>
          </cell>
          <cell r="H47">
            <v>1910</v>
          </cell>
          <cell r="I47">
            <v>254178</v>
          </cell>
          <cell r="K47" t="str">
            <v>Stephen Ortega</v>
          </cell>
          <cell r="L47" t="str">
            <v>Carrie Shirley</v>
          </cell>
          <cell r="M47" t="str">
            <v>6/30/2006</v>
          </cell>
          <cell r="N47" t="str">
            <v>9/8/2006</v>
          </cell>
          <cell r="O47" t="str">
            <v>9/11/2006</v>
          </cell>
          <cell r="P47" t="str">
            <v>10/30/2006</v>
          </cell>
        </row>
        <row r="48">
          <cell r="A48" t="str">
            <v>Ft Lauderdale FL SE 17th Street Causeway</v>
          </cell>
          <cell r="B48" t="str">
            <v>REC Approved</v>
          </cell>
          <cell r="C48">
            <v>976354</v>
          </cell>
          <cell r="D48">
            <v>1492</v>
          </cell>
          <cell r="E48">
            <v>92</v>
          </cell>
          <cell r="F48" t="str">
            <v>SCC-S</v>
          </cell>
          <cell r="G48" t="str">
            <v>47 - Southeast</v>
          </cell>
          <cell r="H48">
            <v>1800</v>
          </cell>
          <cell r="I48">
            <v>251038</v>
          </cell>
          <cell r="K48" t="str">
            <v>Stephen Ortega</v>
          </cell>
          <cell r="L48" t="str">
            <v>Carrie Shirley</v>
          </cell>
          <cell r="M48" t="str">
            <v>6/30/2006</v>
          </cell>
          <cell r="N48" t="str">
            <v>8/29/2006</v>
          </cell>
          <cell r="O48" t="str">
            <v>9/18/2006</v>
          </cell>
          <cell r="P48" t="str">
            <v>11/6/2006</v>
          </cell>
        </row>
        <row r="49">
          <cell r="A49" t="str">
            <v>Seekonk, MA - Rte 6 &amp; 114A</v>
          </cell>
          <cell r="B49" t="str">
            <v>REC Approved</v>
          </cell>
          <cell r="C49">
            <v>976438</v>
          </cell>
          <cell r="D49">
            <v>1581</v>
          </cell>
          <cell r="E49">
            <v>76</v>
          </cell>
          <cell r="F49" t="str">
            <v>SCC-S</v>
          </cell>
          <cell r="G49" t="str">
            <v>54 - Northeast</v>
          </cell>
          <cell r="H49">
            <v>1650</v>
          </cell>
          <cell r="I49">
            <v>242698</v>
          </cell>
          <cell r="K49" t="str">
            <v>Steve Pearson</v>
          </cell>
          <cell r="L49" t="str">
            <v>Jim Corsano</v>
          </cell>
          <cell r="M49" t="str">
            <v>7/28/2006</v>
          </cell>
          <cell r="N49" t="str">
            <v>10/13/2006</v>
          </cell>
          <cell r="O49" t="str">
            <v>9/18/2006</v>
          </cell>
          <cell r="P49" t="str">
            <v>11/6/2006</v>
          </cell>
        </row>
        <row r="50">
          <cell r="A50" t="str">
            <v>Wilmington DE Kirkwood Hwy</v>
          </cell>
          <cell r="B50" t="str">
            <v>REC Approved</v>
          </cell>
          <cell r="C50">
            <v>976447</v>
          </cell>
          <cell r="D50">
            <v>1583</v>
          </cell>
          <cell r="E50">
            <v>72</v>
          </cell>
          <cell r="F50" t="str">
            <v>SCC-S</v>
          </cell>
          <cell r="G50" t="str">
            <v>45 - Mid-Atlantic</v>
          </cell>
          <cell r="H50">
            <v>2000</v>
          </cell>
          <cell r="I50">
            <v>232546</v>
          </cell>
          <cell r="K50" t="str">
            <v>Steve Pearson</v>
          </cell>
          <cell r="L50" t="str">
            <v>Brian Huckins</v>
          </cell>
          <cell r="M50" t="str">
            <v>7/28/2006</v>
          </cell>
          <cell r="N50" t="str">
            <v>9/14/2006</v>
          </cell>
          <cell r="O50" t="str">
            <v>9/18/2006</v>
          </cell>
          <cell r="P50" t="str">
            <v>11/6/2006</v>
          </cell>
        </row>
        <row r="51">
          <cell r="A51" t="str">
            <v>Boca Raton FL Glades Rd</v>
          </cell>
          <cell r="B51" t="str">
            <v>REC Approved</v>
          </cell>
          <cell r="C51">
            <v>976345</v>
          </cell>
          <cell r="D51">
            <v>1490</v>
          </cell>
          <cell r="E51">
            <v>92</v>
          </cell>
          <cell r="F51" t="str">
            <v>SCC-S</v>
          </cell>
          <cell r="G51" t="str">
            <v>47 - Southeast</v>
          </cell>
          <cell r="H51">
            <v>1614</v>
          </cell>
          <cell r="I51">
            <v>214065</v>
          </cell>
          <cell r="K51" t="str">
            <v>Stephen Ortega</v>
          </cell>
          <cell r="L51" t="str">
            <v>Carrie Shirley</v>
          </cell>
          <cell r="M51" t="str">
            <v>6/30/2006</v>
          </cell>
          <cell r="N51" t="str">
            <v>9/8/2006</v>
          </cell>
          <cell r="O51" t="str">
            <v>9/18/2006</v>
          </cell>
          <cell r="P51" t="str">
            <v>11/6/2006</v>
          </cell>
        </row>
        <row r="52">
          <cell r="A52" t="str">
            <v>Colleyville TX Colleyville Blvd at Hall Johnson</v>
          </cell>
          <cell r="B52" t="str">
            <v>REC Approved</v>
          </cell>
          <cell r="C52">
            <v>976426</v>
          </cell>
          <cell r="D52">
            <v>1580</v>
          </cell>
          <cell r="E52">
            <v>28</v>
          </cell>
          <cell r="F52" t="str">
            <v>SCC-S</v>
          </cell>
          <cell r="G52" t="str">
            <v>41 - South Central</v>
          </cell>
          <cell r="H52">
            <v>1960</v>
          </cell>
          <cell r="I52">
            <v>260034</v>
          </cell>
          <cell r="K52" t="str">
            <v>Henry  Alva</v>
          </cell>
          <cell r="L52" t="str">
            <v>Lisa Loreto</v>
          </cell>
          <cell r="M52" t="str">
            <v>7/21/2006</v>
          </cell>
          <cell r="N52" t="str">
            <v>10/13/2006</v>
          </cell>
          <cell r="O52" t="str">
            <v>9/18/2006</v>
          </cell>
          <cell r="P52" t="str">
            <v>11/6/2006</v>
          </cell>
        </row>
        <row r="53">
          <cell r="A53" t="str">
            <v>Glen Allen VA Jeb Stuart Pkwy and Brook Rd</v>
          </cell>
          <cell r="B53" t="str">
            <v>REC Approved</v>
          </cell>
          <cell r="C53">
            <v>976375</v>
          </cell>
          <cell r="D53">
            <v>1522</v>
          </cell>
          <cell r="E53">
            <v>62</v>
          </cell>
          <cell r="F53" t="str">
            <v>SCC-S</v>
          </cell>
          <cell r="G53" t="str">
            <v>45 - Mid-Atlantic</v>
          </cell>
          <cell r="H53">
            <v>2000</v>
          </cell>
          <cell r="I53">
            <v>216573</v>
          </cell>
          <cell r="K53" t="str">
            <v>Stephen Ortega</v>
          </cell>
          <cell r="L53" t="str">
            <v>Brian Huckins</v>
          </cell>
          <cell r="M53" t="str">
            <v>7/7/2006</v>
          </cell>
          <cell r="N53" t="str">
            <v>9/15/2006</v>
          </cell>
          <cell r="O53" t="str">
            <v>9/18/2006</v>
          </cell>
          <cell r="P53" t="str">
            <v>11/6/2006</v>
          </cell>
        </row>
        <row r="54">
          <cell r="A54" t="str">
            <v>Crescent Springs, KY Buttermilk Pike &amp; Anderson Rd.</v>
          </cell>
          <cell r="B54" t="str">
            <v>REC Approved</v>
          </cell>
          <cell r="C54">
            <v>976440</v>
          </cell>
          <cell r="D54">
            <v>1596</v>
          </cell>
          <cell r="E54">
            <v>69</v>
          </cell>
          <cell r="F54" t="str">
            <v>SCC-S</v>
          </cell>
          <cell r="G54" t="str">
            <v>54 - Northeast</v>
          </cell>
          <cell r="H54">
            <v>2200</v>
          </cell>
          <cell r="I54">
            <v>275211</v>
          </cell>
          <cell r="K54" t="str">
            <v>Steve Pearson</v>
          </cell>
          <cell r="L54" t="str">
            <v>Brian Huckins</v>
          </cell>
          <cell r="M54" t="str">
            <v>8/4/2006</v>
          </cell>
          <cell r="N54" t="str">
            <v>9/15/2006</v>
          </cell>
          <cell r="O54" t="str">
            <v>9/18/2006</v>
          </cell>
          <cell r="P54" t="str">
            <v>11/6/2006</v>
          </cell>
        </row>
        <row r="55">
          <cell r="A55" t="str">
            <v>Detroit, MI - Wayne State University</v>
          </cell>
          <cell r="B55" t="str">
            <v>REC Approved</v>
          </cell>
          <cell r="C55">
            <v>976094</v>
          </cell>
          <cell r="D55">
            <v>5015</v>
          </cell>
          <cell r="E55">
            <v>51</v>
          </cell>
          <cell r="F55" t="str">
            <v>SCC-S</v>
          </cell>
          <cell r="G55" t="str">
            <v>49 - Midwest</v>
          </cell>
          <cell r="H55">
            <v>1700</v>
          </cell>
          <cell r="I55">
            <v>224591</v>
          </cell>
          <cell r="K55" t="str">
            <v>Henry  Alva</v>
          </cell>
          <cell r="M55" t="str">
            <v>11/28/2005</v>
          </cell>
          <cell r="N55" t="str">
            <v>7/28/2006</v>
          </cell>
          <cell r="O55" t="str">
            <v>9/18/2006</v>
          </cell>
          <cell r="P55" t="str">
            <v>11/6/2006</v>
          </cell>
        </row>
        <row r="56">
          <cell r="A56" t="str">
            <v>Orlando FL S Kirkman at Arnold Palmer Dr</v>
          </cell>
          <cell r="B56" t="str">
            <v>REC Approved</v>
          </cell>
          <cell r="C56">
            <v>976415</v>
          </cell>
          <cell r="D56">
            <v>1556</v>
          </cell>
          <cell r="E56">
            <v>58</v>
          </cell>
          <cell r="F56" t="str">
            <v>SCC-S</v>
          </cell>
          <cell r="G56" t="str">
            <v>47 - Southeast</v>
          </cell>
          <cell r="H56">
            <v>1943</v>
          </cell>
          <cell r="I56">
            <v>226883</v>
          </cell>
          <cell r="K56" t="str">
            <v>Stephen Ortega</v>
          </cell>
          <cell r="L56" t="str">
            <v>Carrie Shirley</v>
          </cell>
          <cell r="M56" t="str">
            <v>7/21/2006</v>
          </cell>
          <cell r="N56" t="str">
            <v>8/7/2006</v>
          </cell>
          <cell r="O56" t="str">
            <v>9/18/2006</v>
          </cell>
          <cell r="P56" t="str">
            <v>11/6/2006</v>
          </cell>
        </row>
        <row r="57">
          <cell r="A57" t="str">
            <v>Monroe, MI - Telegraph Rd.</v>
          </cell>
          <cell r="B57" t="str">
            <v>REC Approved</v>
          </cell>
          <cell r="C57">
            <v>976484</v>
          </cell>
          <cell r="D57">
            <v>1625</v>
          </cell>
          <cell r="E57">
            <v>51</v>
          </cell>
          <cell r="F57" t="str">
            <v>SCC-S</v>
          </cell>
          <cell r="G57" t="str">
            <v>49 - Midwest</v>
          </cell>
          <cell r="H57">
            <v>2000</v>
          </cell>
          <cell r="I57">
            <v>244364</v>
          </cell>
          <cell r="K57" t="str">
            <v>Steve Pearson</v>
          </cell>
          <cell r="L57" t="str">
            <v>Kati Lawson</v>
          </cell>
          <cell r="M57" t="str">
            <v>8/11/2006</v>
          </cell>
          <cell r="N57" t="str">
            <v>10/14/2006</v>
          </cell>
          <cell r="O57" t="str">
            <v>9/18/2006</v>
          </cell>
          <cell r="P57" t="str">
            <v>11/6/2006</v>
          </cell>
        </row>
        <row r="58">
          <cell r="A58" t="str">
            <v>Avondale AZ Dysart and McDowell</v>
          </cell>
          <cell r="B58" t="str">
            <v>REC Approved</v>
          </cell>
          <cell r="C58">
            <v>976398</v>
          </cell>
          <cell r="D58">
            <v>1582</v>
          </cell>
          <cell r="E58">
            <v>26</v>
          </cell>
          <cell r="F58" t="str">
            <v>SCC-S</v>
          </cell>
          <cell r="G58" t="str">
            <v>35 - Heartland</v>
          </cell>
          <cell r="H58">
            <v>1598</v>
          </cell>
          <cell r="I58">
            <v>285095</v>
          </cell>
          <cell r="K58" t="str">
            <v>Dave  Triplett</v>
          </cell>
          <cell r="L58" t="str">
            <v>Dennis McKee</v>
          </cell>
          <cell r="M58" t="str">
            <v>7/28/2006</v>
          </cell>
          <cell r="N58" t="str">
            <v>9/29/2006</v>
          </cell>
          <cell r="O58" t="str">
            <v>9/25/2006</v>
          </cell>
          <cell r="P58" t="str">
            <v>11/13/2006</v>
          </cell>
        </row>
        <row r="59">
          <cell r="A59" t="str">
            <v>Rolling Meadows IL E. Algonquin</v>
          </cell>
          <cell r="B59" t="str">
            <v>REC Approved</v>
          </cell>
          <cell r="C59">
            <v>976333</v>
          </cell>
          <cell r="D59">
            <v>1499</v>
          </cell>
          <cell r="E59">
            <v>88</v>
          </cell>
          <cell r="F59" t="str">
            <v>SCC-S</v>
          </cell>
          <cell r="G59" t="str">
            <v>49 - Midwest</v>
          </cell>
          <cell r="H59">
            <v>1750</v>
          </cell>
          <cell r="I59">
            <v>256675</v>
          </cell>
          <cell r="K59" t="str">
            <v>Henry  Alva</v>
          </cell>
          <cell r="L59" t="str">
            <v>Kati Lawson</v>
          </cell>
          <cell r="M59" t="str">
            <v>6/30/2006</v>
          </cell>
          <cell r="N59" t="str">
            <v>8/25/2006</v>
          </cell>
          <cell r="O59" t="str">
            <v>9/25/2006</v>
          </cell>
          <cell r="P59" t="str">
            <v>11/13/2006</v>
          </cell>
        </row>
        <row r="60">
          <cell r="A60" t="str">
            <v>Baldwin Park CA Baldwin Park and Francisquito</v>
          </cell>
          <cell r="B60" t="str">
            <v>REC Approved</v>
          </cell>
          <cell r="C60">
            <v>976405</v>
          </cell>
          <cell r="D60">
            <v>1584</v>
          </cell>
          <cell r="E60">
            <v>19</v>
          </cell>
          <cell r="F60" t="str">
            <v>SCC-S</v>
          </cell>
          <cell r="G60" t="str">
            <v>39 - SoCal</v>
          </cell>
          <cell r="H60">
            <v>2000</v>
          </cell>
          <cell r="I60">
            <v>254972</v>
          </cell>
          <cell r="K60" t="str">
            <v>Dave  Triplett</v>
          </cell>
          <cell r="L60" t="str">
            <v>Dennis McKee</v>
          </cell>
          <cell r="M60" t="str">
            <v>7/28/2006</v>
          </cell>
          <cell r="N60" t="str">
            <v>10/2/2006</v>
          </cell>
          <cell r="O60" t="str">
            <v>9/25/2006</v>
          </cell>
          <cell r="P60" t="str">
            <v>11/13/2006</v>
          </cell>
        </row>
        <row r="61">
          <cell r="A61" t="str">
            <v>Cape Coral FL Del Prado Blvd</v>
          </cell>
          <cell r="B61" t="str">
            <v>REC Approved</v>
          </cell>
          <cell r="C61">
            <v>976330</v>
          </cell>
          <cell r="D61">
            <v>1500</v>
          </cell>
          <cell r="E61">
            <v>57</v>
          </cell>
          <cell r="F61" t="str">
            <v>SCC-S</v>
          </cell>
          <cell r="G61" t="str">
            <v>47 - Southeast</v>
          </cell>
          <cell r="H61">
            <v>1927</v>
          </cell>
          <cell r="I61">
            <v>253643</v>
          </cell>
          <cell r="K61" t="str">
            <v>Stephen Ortega</v>
          </cell>
          <cell r="L61" t="str">
            <v>Carrie Shirley</v>
          </cell>
          <cell r="M61" t="str">
            <v>6/30/2006</v>
          </cell>
          <cell r="N61" t="str">
            <v>8/2/2006</v>
          </cell>
          <cell r="O61" t="str">
            <v>9/25/2006</v>
          </cell>
          <cell r="P61" t="str">
            <v>11/13/2006</v>
          </cell>
        </row>
        <row r="62">
          <cell r="A62" t="str">
            <v>Fort Walton Beach FL N Beal Parkway</v>
          </cell>
          <cell r="B62" t="str">
            <v>REC Approved</v>
          </cell>
          <cell r="C62">
            <v>976406</v>
          </cell>
          <cell r="D62">
            <v>1591</v>
          </cell>
          <cell r="E62">
            <v>55</v>
          </cell>
          <cell r="F62" t="str">
            <v>SCC-S</v>
          </cell>
          <cell r="G62" t="str">
            <v>47 - Southeast</v>
          </cell>
          <cell r="H62">
            <v>1918</v>
          </cell>
          <cell r="I62">
            <v>240445</v>
          </cell>
          <cell r="K62" t="str">
            <v>Stephen Ortega</v>
          </cell>
          <cell r="L62" t="str">
            <v>Carrie Shirley</v>
          </cell>
          <cell r="M62" t="str">
            <v>7/28/2006</v>
          </cell>
          <cell r="N62" t="str">
            <v>9/29/2006</v>
          </cell>
          <cell r="O62" t="str">
            <v>9/25/2006</v>
          </cell>
          <cell r="P62" t="str">
            <v>11/13/2006</v>
          </cell>
        </row>
        <row r="63">
          <cell r="A63" t="str">
            <v>Clearwater FL Ft Harrison Avenue</v>
          </cell>
          <cell r="B63" t="str">
            <v>REC Approved</v>
          </cell>
          <cell r="C63">
            <v>976371</v>
          </cell>
          <cell r="D63">
            <v>1617</v>
          </cell>
          <cell r="E63">
            <v>57</v>
          </cell>
          <cell r="F63" t="str">
            <v>SCC-S</v>
          </cell>
          <cell r="G63" t="str">
            <v>47 - Southeast</v>
          </cell>
          <cell r="H63">
            <v>1662</v>
          </cell>
          <cell r="I63">
            <v>224965</v>
          </cell>
          <cell r="K63" t="str">
            <v>Stephen Ortega</v>
          </cell>
          <cell r="L63" t="str">
            <v>Carrie Shirley</v>
          </cell>
          <cell r="M63" t="str">
            <v>7/7/2006</v>
          </cell>
          <cell r="N63" t="str">
            <v>9/15/2006</v>
          </cell>
          <cell r="O63" t="str">
            <v>9/25/2006</v>
          </cell>
          <cell r="P63" t="str">
            <v>11/13/2006</v>
          </cell>
        </row>
        <row r="64">
          <cell r="A64" t="str">
            <v>Medford, MA - 5 Revere Beach Parkway</v>
          </cell>
          <cell r="B64" t="str">
            <v>REC Approved</v>
          </cell>
          <cell r="C64">
            <v>976437</v>
          </cell>
          <cell r="D64">
            <v>1597</v>
          </cell>
          <cell r="E64">
            <v>76</v>
          </cell>
          <cell r="F64" t="str">
            <v>SCC-S</v>
          </cell>
          <cell r="G64" t="str">
            <v>54 - Northeast</v>
          </cell>
          <cell r="H64">
            <v>1866</v>
          </cell>
          <cell r="I64">
            <v>262992</v>
          </cell>
          <cell r="K64" t="str">
            <v>Steve Pearson</v>
          </cell>
          <cell r="L64" t="str">
            <v>Jim Corsano</v>
          </cell>
          <cell r="M64" t="str">
            <v>8/4/2006</v>
          </cell>
          <cell r="N64" t="str">
            <v>10/13/2006</v>
          </cell>
          <cell r="O64" t="str">
            <v>9/25/2006</v>
          </cell>
          <cell r="P64" t="str">
            <v>11/13/2006</v>
          </cell>
        </row>
        <row r="65">
          <cell r="A65" t="str">
            <v>Lewisville TX Signs &amp; Graphic Flagship</v>
          </cell>
          <cell r="B65" t="str">
            <v>REC Approved</v>
          </cell>
          <cell r="C65">
            <v>976441</v>
          </cell>
          <cell r="E65">
            <v>28</v>
          </cell>
          <cell r="F65" t="str">
            <v>Signs &amp; Graphics</v>
          </cell>
          <cell r="G65" t="str">
            <v>41 - South Central</v>
          </cell>
          <cell r="H65">
            <v>6918</v>
          </cell>
          <cell r="K65" t="str">
            <v>Henry  Alva</v>
          </cell>
          <cell r="M65" t="str">
            <v>9/1/2006</v>
          </cell>
          <cell r="N65" t="str">
            <v>10/16/2006</v>
          </cell>
          <cell r="O65" t="str">
            <v>9/18/2006</v>
          </cell>
          <cell r="P65" t="str">
            <v>11/13/2006</v>
          </cell>
        </row>
        <row r="66">
          <cell r="A66" t="str">
            <v>San Diego CA Napa &amp; Linda Vista Rd</v>
          </cell>
          <cell r="B66" t="str">
            <v>REC Approved</v>
          </cell>
          <cell r="C66">
            <v>976459</v>
          </cell>
          <cell r="D66">
            <v>1628</v>
          </cell>
          <cell r="E66">
            <v>25</v>
          </cell>
          <cell r="F66" t="str">
            <v>SCC-S</v>
          </cell>
          <cell r="G66" t="str">
            <v>39 - SoCal</v>
          </cell>
          <cell r="H66">
            <v>1850</v>
          </cell>
          <cell r="I66">
            <v>278586</v>
          </cell>
          <cell r="K66" t="str">
            <v>Dave  Triplett</v>
          </cell>
          <cell r="L66" t="str">
            <v>Dennis McKee</v>
          </cell>
          <cell r="M66" t="str">
            <v>8/11/2006</v>
          </cell>
          <cell r="N66" t="str">
            <v>10/25/2006</v>
          </cell>
          <cell r="O66" t="str">
            <v>9/25/2006</v>
          </cell>
          <cell r="P66" t="str">
            <v>11/13/2006</v>
          </cell>
        </row>
        <row r="67">
          <cell r="A67" t="str">
            <v>Webster TX I45 at Bay Area</v>
          </cell>
          <cell r="B67" t="str">
            <v>REC Approved</v>
          </cell>
          <cell r="C67">
            <v>976497</v>
          </cell>
          <cell r="D67">
            <v>1626</v>
          </cell>
          <cell r="E67">
            <v>33</v>
          </cell>
          <cell r="F67" t="str">
            <v>SCC-S</v>
          </cell>
          <cell r="G67" t="str">
            <v>41 - South Central</v>
          </cell>
          <cell r="H67">
            <v>1996</v>
          </cell>
          <cell r="I67">
            <v>259595</v>
          </cell>
          <cell r="K67" t="str">
            <v>Henry  Alva</v>
          </cell>
          <cell r="L67" t="str">
            <v>Lisa Loreto</v>
          </cell>
          <cell r="M67" t="str">
            <v>8/11/2006</v>
          </cell>
          <cell r="N67" t="str">
            <v>11/6/2006</v>
          </cell>
          <cell r="O67" t="str">
            <v>9/25/2006</v>
          </cell>
          <cell r="P67" t="str">
            <v>11/13/2006</v>
          </cell>
        </row>
        <row r="68">
          <cell r="A68" t="str">
            <v>Valparaiso IN LaPorte Ave &amp; Legend DR</v>
          </cell>
          <cell r="B68" t="str">
            <v>REC Approved</v>
          </cell>
          <cell r="C68">
            <v>976234</v>
          </cell>
          <cell r="D68">
            <v>1443</v>
          </cell>
          <cell r="E68">
            <v>49</v>
          </cell>
          <cell r="F68" t="str">
            <v>SCC-S</v>
          </cell>
          <cell r="G68" t="str">
            <v>49 - Midwest</v>
          </cell>
          <cell r="H68">
            <v>1800</v>
          </cell>
          <cell r="I68">
            <v>236191</v>
          </cell>
          <cell r="K68" t="str">
            <v>Henry  Alva</v>
          </cell>
          <cell r="L68" t="str">
            <v>Kati Lawson</v>
          </cell>
          <cell r="M68" t="str">
            <v>4/6/2006</v>
          </cell>
          <cell r="N68" t="str">
            <v>6/30/2006</v>
          </cell>
          <cell r="O68" t="str">
            <v>10/2/2006</v>
          </cell>
          <cell r="P68" t="str">
            <v>11/20/2006</v>
          </cell>
        </row>
        <row r="69">
          <cell r="A69" t="str">
            <v>Crystal, MN - Crystal Shopping Center</v>
          </cell>
          <cell r="B69" t="str">
            <v>REC Approved</v>
          </cell>
          <cell r="C69">
            <v>976356</v>
          </cell>
          <cell r="D69">
            <v>1503</v>
          </cell>
          <cell r="E69">
            <v>41</v>
          </cell>
          <cell r="F69" t="str">
            <v>SCC-S</v>
          </cell>
          <cell r="G69" t="str">
            <v>38 - Northwest</v>
          </cell>
          <cell r="H69">
            <v>2000</v>
          </cell>
          <cell r="I69">
            <v>245280</v>
          </cell>
          <cell r="K69" t="str">
            <v>Henry  Alva</v>
          </cell>
          <cell r="L69" t="str">
            <v>Dennis McKee</v>
          </cell>
          <cell r="M69" t="str">
            <v>7/7/2006</v>
          </cell>
          <cell r="N69" t="str">
            <v>8/18/2006</v>
          </cell>
          <cell r="O69" t="str">
            <v>10/2/2006</v>
          </cell>
          <cell r="P69" t="str">
            <v>11/20/2006</v>
          </cell>
        </row>
        <row r="70">
          <cell r="A70" t="str">
            <v>Ellisville MO Ellisville Exchange</v>
          </cell>
          <cell r="B70" t="str">
            <v>REC Approved</v>
          </cell>
          <cell r="C70">
            <v>976397</v>
          </cell>
          <cell r="D70">
            <v>1529</v>
          </cell>
          <cell r="E70">
            <v>39</v>
          </cell>
          <cell r="F70" t="str">
            <v>SCC-S</v>
          </cell>
          <cell r="G70" t="str">
            <v>49 - Midwest</v>
          </cell>
          <cell r="H70">
            <v>1998</v>
          </cell>
          <cell r="I70">
            <v>255075</v>
          </cell>
          <cell r="K70" t="str">
            <v>Henry  Alva</v>
          </cell>
          <cell r="L70" t="str">
            <v>Brian Huckins</v>
          </cell>
          <cell r="M70" t="str">
            <v>7/14/2006</v>
          </cell>
          <cell r="N70" t="str">
            <v>8/29/2006</v>
          </cell>
          <cell r="O70" t="str">
            <v>10/2/2006</v>
          </cell>
          <cell r="P70" t="str">
            <v>11/20/2006</v>
          </cell>
        </row>
        <row r="71">
          <cell r="A71" t="str">
            <v>Bolingbrook, IL - NWC Weber Road &amp; Lily Cache Ln</v>
          </cell>
          <cell r="B71" t="str">
            <v>REC Approved</v>
          </cell>
          <cell r="C71">
            <v>976390</v>
          </cell>
          <cell r="D71">
            <v>1534</v>
          </cell>
          <cell r="E71">
            <v>49</v>
          </cell>
          <cell r="F71" t="str">
            <v>SCC-S</v>
          </cell>
          <cell r="G71" t="str">
            <v>49 - Midwest</v>
          </cell>
          <cell r="H71">
            <v>1978</v>
          </cell>
          <cell r="I71">
            <v>253025</v>
          </cell>
          <cell r="K71" t="str">
            <v>Henry  Alva</v>
          </cell>
          <cell r="L71" t="str">
            <v>Kati Lawson</v>
          </cell>
          <cell r="M71" t="str">
            <v>7/14/2006</v>
          </cell>
          <cell r="N71" t="str">
            <v>8/2/2006</v>
          </cell>
          <cell r="O71" t="str">
            <v>10/2/2006</v>
          </cell>
          <cell r="P71" t="str">
            <v>11/20/2006</v>
          </cell>
        </row>
        <row r="72">
          <cell r="A72" t="str">
            <v>Duluth GA Medlock Bridge Rd</v>
          </cell>
          <cell r="B72" t="str">
            <v>REC Approved</v>
          </cell>
          <cell r="C72">
            <v>976433</v>
          </cell>
          <cell r="D72">
            <v>1553</v>
          </cell>
          <cell r="E72">
            <v>59</v>
          </cell>
          <cell r="F72" t="str">
            <v>SCC-S</v>
          </cell>
          <cell r="G72" t="str">
            <v>47 - Southeast</v>
          </cell>
          <cell r="H72">
            <v>1809</v>
          </cell>
          <cell r="I72">
            <v>250466</v>
          </cell>
          <cell r="K72" t="str">
            <v>Stephen Ortega</v>
          </cell>
          <cell r="L72" t="str">
            <v>Chris Varney</v>
          </cell>
          <cell r="M72" t="str">
            <v>7/21/2006</v>
          </cell>
          <cell r="N72" t="str">
            <v>10/6/2006</v>
          </cell>
          <cell r="O72" t="str">
            <v>10/2/2006</v>
          </cell>
          <cell r="P72" t="str">
            <v>11/20/2006</v>
          </cell>
        </row>
        <row r="73">
          <cell r="A73" t="str">
            <v xml:space="preserve">West Valley City, UT </v>
          </cell>
          <cell r="B73" t="str">
            <v>REC Approved</v>
          </cell>
          <cell r="C73">
            <v>976460</v>
          </cell>
          <cell r="D73">
            <v>1587</v>
          </cell>
          <cell r="E73">
            <v>5</v>
          </cell>
          <cell r="F73" t="str">
            <v>SCC-S</v>
          </cell>
          <cell r="G73" t="str">
            <v>38 - Northwest</v>
          </cell>
          <cell r="H73">
            <v>1626</v>
          </cell>
          <cell r="I73">
            <v>244310</v>
          </cell>
          <cell r="K73" t="str">
            <v>Dave  Triplett</v>
          </cell>
          <cell r="L73" t="str">
            <v>Clair Rose</v>
          </cell>
          <cell r="M73" t="str">
            <v>7/28/2006</v>
          </cell>
          <cell r="N73" t="str">
            <v>10/20/2006</v>
          </cell>
          <cell r="O73" t="str">
            <v>10/2/2006</v>
          </cell>
          <cell r="P73" t="str">
            <v>11/20/2006</v>
          </cell>
        </row>
        <row r="74">
          <cell r="A74" t="str">
            <v>Houston TX I-45 at 610</v>
          </cell>
          <cell r="B74" t="str">
            <v>REC Approved</v>
          </cell>
          <cell r="C74">
            <v>976488</v>
          </cell>
          <cell r="D74">
            <v>1622</v>
          </cell>
          <cell r="E74">
            <v>33</v>
          </cell>
          <cell r="F74" t="str">
            <v>SCC-S</v>
          </cell>
          <cell r="G74" t="str">
            <v>41 - South Central</v>
          </cell>
          <cell r="H74">
            <v>1701</v>
          </cell>
          <cell r="I74">
            <v>245438</v>
          </cell>
          <cell r="K74" t="str">
            <v>Henry  Alva</v>
          </cell>
          <cell r="L74" t="str">
            <v>Lisa Loreto</v>
          </cell>
          <cell r="M74" t="str">
            <v>8/4/2006</v>
          </cell>
          <cell r="N74" t="str">
            <v>10/14/2006</v>
          </cell>
          <cell r="O74" t="str">
            <v>10/2/2006</v>
          </cell>
          <cell r="P74" t="str">
            <v>11/20/2006</v>
          </cell>
        </row>
        <row r="75">
          <cell r="A75" t="str">
            <v>San Francisco, CA  Market and 3rd</v>
          </cell>
          <cell r="B75" t="str">
            <v>REC Approved</v>
          </cell>
          <cell r="C75">
            <v>976449</v>
          </cell>
          <cell r="D75">
            <v>1590</v>
          </cell>
          <cell r="E75">
            <v>12</v>
          </cell>
          <cell r="F75" t="str">
            <v>SCC-S</v>
          </cell>
          <cell r="G75" t="str">
            <v>40 - Bay Area</v>
          </cell>
          <cell r="H75">
            <v>2311</v>
          </cell>
          <cell r="I75">
            <v>351914</v>
          </cell>
          <cell r="K75" t="str">
            <v>Dave  Triplett</v>
          </cell>
          <cell r="L75" t="str">
            <v>Clair Rose</v>
          </cell>
          <cell r="M75" t="str">
            <v>7/28/2006</v>
          </cell>
          <cell r="N75" t="str">
            <v>10/13/2006</v>
          </cell>
          <cell r="O75" t="str">
            <v>9/25/2006</v>
          </cell>
          <cell r="P75" t="str">
            <v>11/20/2006</v>
          </cell>
        </row>
        <row r="76">
          <cell r="A76" t="str">
            <v>Medina Township, OH - 4885 Grande Blvd</v>
          </cell>
          <cell r="B76" t="str">
            <v>REC Approved</v>
          </cell>
          <cell r="C76">
            <v>976477</v>
          </cell>
          <cell r="D76">
            <v>1624</v>
          </cell>
          <cell r="E76">
            <v>66</v>
          </cell>
          <cell r="F76" t="str">
            <v>SCC-S</v>
          </cell>
          <cell r="G76" t="str">
            <v>54 - Northeast</v>
          </cell>
          <cell r="H76">
            <v>1994</v>
          </cell>
          <cell r="I76">
            <v>261586</v>
          </cell>
          <cell r="K76" t="str">
            <v>Steve Pearson</v>
          </cell>
          <cell r="L76" t="str">
            <v>Kim Trignano</v>
          </cell>
          <cell r="M76" t="str">
            <v>8/11/2006</v>
          </cell>
          <cell r="N76" t="str">
            <v>9/15/2006</v>
          </cell>
          <cell r="O76" t="str">
            <v>10/2/2006</v>
          </cell>
          <cell r="P76" t="str">
            <v>11/20/2006</v>
          </cell>
        </row>
        <row r="77">
          <cell r="A77" t="str">
            <v>Houston TX Main and Braesmain</v>
          </cell>
          <cell r="B77" t="str">
            <v>REC Approved</v>
          </cell>
          <cell r="C77">
            <v>976480</v>
          </cell>
          <cell r="D77">
            <v>1616</v>
          </cell>
          <cell r="E77">
            <v>33</v>
          </cell>
          <cell r="F77" t="str">
            <v>SCC-S</v>
          </cell>
          <cell r="G77" t="str">
            <v>41 - South Central</v>
          </cell>
          <cell r="H77">
            <v>1824</v>
          </cell>
          <cell r="I77">
            <v>252003</v>
          </cell>
          <cell r="K77" t="str">
            <v>Henry  Alva</v>
          </cell>
          <cell r="L77" t="str">
            <v>Lisa Loreto</v>
          </cell>
          <cell r="M77" t="str">
            <v>8/4/2006</v>
          </cell>
          <cell r="N77" t="str">
            <v>10/14/2006</v>
          </cell>
          <cell r="O77" t="str">
            <v>10/2/2006</v>
          </cell>
          <cell r="P77" t="str">
            <v>11/20/2006</v>
          </cell>
        </row>
        <row r="78">
          <cell r="A78" t="str">
            <v>American Fork UT</v>
          </cell>
          <cell r="B78" t="str">
            <v>REC Approved</v>
          </cell>
          <cell r="C78">
            <v>976021</v>
          </cell>
          <cell r="D78">
            <v>1395</v>
          </cell>
          <cell r="E78">
            <v>5</v>
          </cell>
          <cell r="F78" t="str">
            <v>LCC</v>
          </cell>
          <cell r="G78" t="str">
            <v>38 - Northwest</v>
          </cell>
          <cell r="H78">
            <v>2633</v>
          </cell>
          <cell r="I78">
            <v>296543</v>
          </cell>
          <cell r="K78" t="str">
            <v>Dave  Triplett</v>
          </cell>
          <cell r="L78" t="str">
            <v>Dennis McKee</v>
          </cell>
          <cell r="M78" t="str">
            <v>1/10/2006</v>
          </cell>
          <cell r="N78" t="str">
            <v>6/10/2006</v>
          </cell>
          <cell r="O78" t="str">
            <v>10/2/2006</v>
          </cell>
          <cell r="P78" t="str">
            <v>11/30/2006</v>
          </cell>
        </row>
        <row r="79">
          <cell r="A79" t="str">
            <v>Lancaster PA Fruitville Pike Retail Center</v>
          </cell>
          <cell r="B79" t="str">
            <v>REC Approved</v>
          </cell>
          <cell r="C79">
            <v>976006</v>
          </cell>
          <cell r="D79">
            <v>1366</v>
          </cell>
          <cell r="E79">
            <v>71</v>
          </cell>
          <cell r="F79" t="str">
            <v>SCC-S</v>
          </cell>
          <cell r="G79" t="str">
            <v>45 - Mid-Atlantic</v>
          </cell>
          <cell r="H79">
            <v>1700</v>
          </cell>
          <cell r="I79">
            <v>222441</v>
          </cell>
          <cell r="K79" t="str">
            <v>Steve Pearson</v>
          </cell>
          <cell r="L79" t="str">
            <v>Kim Trignano</v>
          </cell>
          <cell r="M79" t="str">
            <v>1/27/2006</v>
          </cell>
          <cell r="N79" t="str">
            <v>3/21/2006</v>
          </cell>
          <cell r="O79" t="str">
            <v>10/9/2006</v>
          </cell>
          <cell r="P79" t="str">
            <v>11/30/2006</v>
          </cell>
        </row>
        <row r="80">
          <cell r="A80" t="str">
            <v>Rocklin CA Blue Oaks &amp; Lone Tree</v>
          </cell>
          <cell r="B80" t="str">
            <v>REC Approved</v>
          </cell>
          <cell r="C80">
            <v>976243</v>
          </cell>
          <cell r="D80">
            <v>1451</v>
          </cell>
          <cell r="E80">
            <v>11</v>
          </cell>
          <cell r="F80" t="str">
            <v>SCC-S</v>
          </cell>
          <cell r="G80" t="str">
            <v>40 - Bay Area</v>
          </cell>
          <cell r="H80">
            <v>2000</v>
          </cell>
          <cell r="I80">
            <v>246219</v>
          </cell>
          <cell r="K80" t="str">
            <v>Dave  Triplett</v>
          </cell>
          <cell r="L80" t="str">
            <v>Clair Rose</v>
          </cell>
          <cell r="M80" t="str">
            <v>5/4/2006</v>
          </cell>
          <cell r="N80" t="str">
            <v>8/9/2006</v>
          </cell>
          <cell r="O80" t="str">
            <v>10/2/2006</v>
          </cell>
          <cell r="P80" t="str">
            <v>11/30/2006</v>
          </cell>
        </row>
        <row r="81">
          <cell r="A81" t="str">
            <v>Doral Park FL NW 87th Avenue</v>
          </cell>
          <cell r="B81" t="str">
            <v>REC Approved</v>
          </cell>
          <cell r="C81">
            <v>976351</v>
          </cell>
          <cell r="D81">
            <v>1493</v>
          </cell>
          <cell r="E81">
            <v>56</v>
          </cell>
          <cell r="F81" t="str">
            <v>SCC-S</v>
          </cell>
          <cell r="G81" t="str">
            <v>47 - Southeast</v>
          </cell>
          <cell r="H81">
            <v>2000</v>
          </cell>
          <cell r="I81">
            <v>251324</v>
          </cell>
          <cell r="K81" t="str">
            <v>Stephen Ortega</v>
          </cell>
          <cell r="L81" t="str">
            <v>Carrie Shirley</v>
          </cell>
          <cell r="M81" t="str">
            <v>6/30/2006</v>
          </cell>
          <cell r="N81" t="str">
            <v>8/18/2006</v>
          </cell>
          <cell r="O81" t="str">
            <v>10/9/2006</v>
          </cell>
          <cell r="P81" t="str">
            <v>11/30/2006</v>
          </cell>
        </row>
        <row r="82">
          <cell r="A82" t="str">
            <v>Jacksonville FL Atlantic Blvd</v>
          </cell>
          <cell r="B82" t="str">
            <v>REC Approved</v>
          </cell>
          <cell r="C82">
            <v>976395</v>
          </cell>
          <cell r="D82">
            <v>1561</v>
          </cell>
          <cell r="E82">
            <v>58</v>
          </cell>
          <cell r="F82" t="str">
            <v>SCC-S</v>
          </cell>
          <cell r="G82" t="str">
            <v>47 - Southeast</v>
          </cell>
          <cell r="H82">
            <v>2000</v>
          </cell>
          <cell r="I82">
            <v>235286</v>
          </cell>
          <cell r="K82" t="str">
            <v>Stephen Ortega</v>
          </cell>
          <cell r="L82" t="str">
            <v>Carrie Shirley</v>
          </cell>
          <cell r="M82" t="str">
            <v>7/21/2006</v>
          </cell>
          <cell r="N82" t="str">
            <v>7/31/2006</v>
          </cell>
          <cell r="O82" t="str">
            <v>10/2/2006</v>
          </cell>
          <cell r="P82" t="str">
            <v>11/30/2006</v>
          </cell>
        </row>
        <row r="83">
          <cell r="A83" t="str">
            <v>Ollivette MO  Olive Boulevard</v>
          </cell>
          <cell r="B83" t="str">
            <v>REC Approved</v>
          </cell>
          <cell r="C83">
            <v>976396</v>
          </cell>
          <cell r="D83">
            <v>1532</v>
          </cell>
          <cell r="E83">
            <v>39</v>
          </cell>
          <cell r="F83" t="str">
            <v>SCC-S</v>
          </cell>
          <cell r="G83" t="str">
            <v>49 - Midwest</v>
          </cell>
          <cell r="H83">
            <v>1700</v>
          </cell>
          <cell r="I83">
            <v>249818</v>
          </cell>
          <cell r="K83" t="str">
            <v>Henry  Alva</v>
          </cell>
          <cell r="L83" t="str">
            <v>Brian Huckins</v>
          </cell>
          <cell r="M83" t="str">
            <v>7/14/2006</v>
          </cell>
          <cell r="N83" t="str">
            <v>9/5/2006</v>
          </cell>
          <cell r="O83" t="str">
            <v>10/9/2006</v>
          </cell>
          <cell r="P83" t="str">
            <v>11/30/2006</v>
          </cell>
        </row>
        <row r="84">
          <cell r="A84" t="str">
            <v>Euless TX Hwy 121 at Glade Rd</v>
          </cell>
          <cell r="B84" t="str">
            <v>REC Approved</v>
          </cell>
          <cell r="C84">
            <v>976478</v>
          </cell>
          <cell r="D84">
            <v>1600</v>
          </cell>
          <cell r="E84">
            <v>28</v>
          </cell>
          <cell r="F84" t="str">
            <v>SCC-S</v>
          </cell>
          <cell r="G84" t="str">
            <v>41 - South Central</v>
          </cell>
          <cell r="H84">
            <v>1700</v>
          </cell>
          <cell r="I84">
            <v>255114</v>
          </cell>
          <cell r="K84" t="str">
            <v>Henry  Alva</v>
          </cell>
          <cell r="L84" t="str">
            <v>Lisa Loreto</v>
          </cell>
          <cell r="M84" t="str">
            <v>8/4/2006</v>
          </cell>
          <cell r="N84" t="str">
            <v>10/14/2006</v>
          </cell>
          <cell r="O84" t="str">
            <v>10/9/2006</v>
          </cell>
          <cell r="P84" t="str">
            <v>11/30/2006</v>
          </cell>
        </row>
        <row r="85">
          <cell r="A85" t="str">
            <v>Mason OH Shoppes of Deerfield</v>
          </cell>
          <cell r="B85" t="str">
            <v>REC Approved</v>
          </cell>
          <cell r="C85">
            <v>976566</v>
          </cell>
          <cell r="D85">
            <v>1649</v>
          </cell>
          <cell r="E85">
            <v>69</v>
          </cell>
          <cell r="F85" t="str">
            <v>SCC-S</v>
          </cell>
          <cell r="G85" t="str">
            <v>54 - Northeast</v>
          </cell>
          <cell r="H85">
            <v>2252</v>
          </cell>
          <cell r="I85">
            <v>253052</v>
          </cell>
          <cell r="K85" t="str">
            <v>Steve Pearson</v>
          </cell>
          <cell r="L85" t="str">
            <v>Brian Huckins</v>
          </cell>
          <cell r="M85" t="str">
            <v>8/25/2006</v>
          </cell>
          <cell r="N85" t="str">
            <v>9/29/2006</v>
          </cell>
          <cell r="O85" t="str">
            <v>10/9/2006</v>
          </cell>
          <cell r="P85" t="str">
            <v>11/30/2006</v>
          </cell>
        </row>
        <row r="86">
          <cell r="A86" t="str">
            <v>Ft Lauderdale FL 1595 Federal Hwy</v>
          </cell>
          <cell r="B86" t="str">
            <v>REC Approved</v>
          </cell>
          <cell r="C86">
            <v>976479</v>
          </cell>
          <cell r="D86">
            <v>1599</v>
          </cell>
          <cell r="E86">
            <v>92</v>
          </cell>
          <cell r="F86" t="str">
            <v>SCC-S</v>
          </cell>
          <cell r="G86" t="str">
            <v>47 - Southeast</v>
          </cell>
          <cell r="H86">
            <v>1614</v>
          </cell>
          <cell r="I86">
            <v>210393</v>
          </cell>
          <cell r="K86" t="str">
            <v>Stephen Ortega</v>
          </cell>
          <cell r="L86" t="str">
            <v>Carrie Shirley</v>
          </cell>
          <cell r="M86" t="str">
            <v>8/4/2006</v>
          </cell>
          <cell r="N86" t="str">
            <v>10/14/2006</v>
          </cell>
          <cell r="O86" t="str">
            <v>10/2/2006</v>
          </cell>
          <cell r="P86" t="str">
            <v>11/30/2006</v>
          </cell>
        </row>
        <row r="87">
          <cell r="A87" t="str">
            <v>Monroe NC 2813 West Hwy 74</v>
          </cell>
          <cell r="B87" t="str">
            <v>REC Approved</v>
          </cell>
          <cell r="C87">
            <v>976483</v>
          </cell>
          <cell r="D87">
            <v>1627</v>
          </cell>
          <cell r="E87">
            <v>61</v>
          </cell>
          <cell r="F87" t="str">
            <v>SCC-S</v>
          </cell>
          <cell r="G87" t="str">
            <v>45 - Mid-Atlantic</v>
          </cell>
          <cell r="H87">
            <v>1600</v>
          </cell>
          <cell r="I87">
            <v>203677</v>
          </cell>
          <cell r="K87" t="str">
            <v>Stephen Ortega</v>
          </cell>
          <cell r="L87" t="str">
            <v>Lisa Dews</v>
          </cell>
          <cell r="M87" t="str">
            <v>8/11/2006</v>
          </cell>
          <cell r="N87" t="str">
            <v>10/27/2006</v>
          </cell>
          <cell r="O87" t="str">
            <v>10/2/2006</v>
          </cell>
          <cell r="P87" t="str">
            <v>11/30/2006</v>
          </cell>
        </row>
        <row r="88">
          <cell r="A88" t="str">
            <v>West Lebanon, NH - Main St. &amp; I-89</v>
          </cell>
          <cell r="B88" t="str">
            <v>REC Approved</v>
          </cell>
          <cell r="C88">
            <v>976446</v>
          </cell>
          <cell r="D88">
            <v>1642</v>
          </cell>
          <cell r="E88">
            <v>77</v>
          </cell>
          <cell r="F88" t="str">
            <v>SCC-RSA</v>
          </cell>
          <cell r="G88" t="str">
            <v>54 - Northeast</v>
          </cell>
          <cell r="H88">
            <v>1840</v>
          </cell>
          <cell r="I88">
            <v>316647</v>
          </cell>
          <cell r="K88" t="str">
            <v>Steve Pearson</v>
          </cell>
          <cell r="L88" t="str">
            <v>Jim Corsano</v>
          </cell>
          <cell r="M88" t="str">
            <v>8/25/2006</v>
          </cell>
          <cell r="N88" t="str">
            <v>8/11/2006</v>
          </cell>
          <cell r="O88" t="str">
            <v>10/16/2006</v>
          </cell>
          <cell r="P88" t="str">
            <v>12/11/2006</v>
          </cell>
        </row>
        <row r="89">
          <cell r="A89" t="str">
            <v>Evans GA Washington Rd</v>
          </cell>
          <cell r="B89" t="str">
            <v>REC Approved</v>
          </cell>
          <cell r="C89">
            <v>976403</v>
          </cell>
          <cell r="D89">
            <v>1651</v>
          </cell>
          <cell r="E89">
            <v>90</v>
          </cell>
          <cell r="F89" t="str">
            <v>SCC-S</v>
          </cell>
          <cell r="G89" t="str">
            <v>47 - Southeast</v>
          </cell>
          <cell r="H89">
            <v>2300</v>
          </cell>
          <cell r="I89">
            <v>207483</v>
          </cell>
          <cell r="K89" t="str">
            <v>Stephen Ortega</v>
          </cell>
          <cell r="L89" t="str">
            <v>Chris Varney</v>
          </cell>
          <cell r="M89" t="str">
            <v>8/25/2006</v>
          </cell>
          <cell r="N89" t="str">
            <v>10/6/2006</v>
          </cell>
          <cell r="O89" t="str">
            <v>10/16/2006</v>
          </cell>
          <cell r="P89" t="str">
            <v>12/11/2006</v>
          </cell>
        </row>
        <row r="90">
          <cell r="A90" t="str">
            <v>Delray Beach FL N Federal Hwy</v>
          </cell>
          <cell r="B90" t="str">
            <v>REC Approved</v>
          </cell>
          <cell r="C90">
            <v>976453</v>
          </cell>
          <cell r="D90">
            <v>1598</v>
          </cell>
          <cell r="E90">
            <v>92</v>
          </cell>
          <cell r="F90" t="str">
            <v>SCC-S</v>
          </cell>
          <cell r="G90" t="str">
            <v>47 - Southeast</v>
          </cell>
          <cell r="H90">
            <v>2000</v>
          </cell>
          <cell r="I90">
            <v>248423</v>
          </cell>
          <cell r="K90" t="str">
            <v>Stephen Ortega</v>
          </cell>
          <cell r="L90" t="str">
            <v>Carrie Shirley</v>
          </cell>
          <cell r="M90" t="str">
            <v>8/4/2006</v>
          </cell>
          <cell r="N90" t="str">
            <v>10/7/2006</v>
          </cell>
          <cell r="O90" t="str">
            <v>10/16/2006</v>
          </cell>
          <cell r="P90" t="str">
            <v>12/11/2006</v>
          </cell>
        </row>
        <row r="91">
          <cell r="A91" t="str">
            <v>Eastpointe, MI - East Brooke Commons</v>
          </cell>
          <cell r="B91" t="str">
            <v>REC Approved</v>
          </cell>
          <cell r="C91">
            <v>976565</v>
          </cell>
          <cell r="D91">
            <v>1645</v>
          </cell>
          <cell r="E91">
            <v>52</v>
          </cell>
          <cell r="F91" t="str">
            <v>SCC-S</v>
          </cell>
          <cell r="G91" t="str">
            <v>49 - Midwest</v>
          </cell>
          <cell r="H91">
            <v>2000</v>
          </cell>
          <cell r="I91">
            <v>288380</v>
          </cell>
          <cell r="K91" t="str">
            <v>Steve Pearson</v>
          </cell>
          <cell r="L91" t="str">
            <v>Clair Rose</v>
          </cell>
          <cell r="M91" t="str">
            <v>9/1/2006</v>
          </cell>
          <cell r="N91" t="str">
            <v>9/29/2006</v>
          </cell>
          <cell r="O91" t="str">
            <v>10/16/2006</v>
          </cell>
          <cell r="P91" t="str">
            <v>12/11/2006</v>
          </cell>
        </row>
        <row r="92">
          <cell r="A92" t="str">
            <v>Daytona Beach FL</v>
          </cell>
          <cell r="B92" t="str">
            <v>REC Approved</v>
          </cell>
          <cell r="C92">
            <v>974881</v>
          </cell>
          <cell r="D92">
            <v>1275</v>
          </cell>
          <cell r="E92">
            <v>58</v>
          </cell>
          <cell r="F92" t="str">
            <v>SUV</v>
          </cell>
          <cell r="G92" t="str">
            <v>47 - Southeast</v>
          </cell>
          <cell r="H92">
            <v>4050</v>
          </cell>
          <cell r="I92">
            <v>552030</v>
          </cell>
          <cell r="K92" t="str">
            <v>Stephen Ortega</v>
          </cell>
          <cell r="L92" t="str">
            <v>Carrie Shirley</v>
          </cell>
          <cell r="M92" t="str">
            <v>6/23/2004</v>
          </cell>
          <cell r="N92" t="str">
            <v>2/14/2005</v>
          </cell>
          <cell r="O92" t="str">
            <v>10/16/2006</v>
          </cell>
          <cell r="P92" t="str">
            <v>12/18/2006</v>
          </cell>
        </row>
        <row r="93">
          <cell r="A93" t="str">
            <v>Alpharetta GA Old Milton</v>
          </cell>
          <cell r="B93" t="str">
            <v>REC Approved</v>
          </cell>
          <cell r="C93">
            <v>976380</v>
          </cell>
          <cell r="D93">
            <v>1621</v>
          </cell>
          <cell r="E93">
            <v>59</v>
          </cell>
          <cell r="F93" t="str">
            <v>SCC-S</v>
          </cell>
          <cell r="G93" t="str">
            <v>47 - Southeast</v>
          </cell>
          <cell r="H93">
            <v>1744</v>
          </cell>
          <cell r="I93">
            <v>246912</v>
          </cell>
          <cell r="K93" t="str">
            <v>Stephen Ortega</v>
          </cell>
          <cell r="L93" t="str">
            <v>Chris Varney</v>
          </cell>
          <cell r="M93" t="str">
            <v>7/14/2006</v>
          </cell>
          <cell r="N93" t="str">
            <v>8/9/2006</v>
          </cell>
          <cell r="O93" t="str">
            <v>10/23/2006</v>
          </cell>
          <cell r="P93" t="str">
            <v>12/18/2006</v>
          </cell>
        </row>
        <row r="94">
          <cell r="A94" t="str">
            <v>Jeffersonville IN Jeffersonville Town Center</v>
          </cell>
          <cell r="B94" t="str">
            <v>REC Approved</v>
          </cell>
          <cell r="C94">
            <v>976101</v>
          </cell>
          <cell r="D94">
            <v>1393</v>
          </cell>
          <cell r="E94">
            <v>69</v>
          </cell>
          <cell r="F94" t="str">
            <v>SCC-S</v>
          </cell>
          <cell r="G94" t="str">
            <v>54 - Northeast</v>
          </cell>
          <cell r="H94">
            <v>2017</v>
          </cell>
          <cell r="I94">
            <v>236638</v>
          </cell>
          <cell r="K94" t="str">
            <v>Stephen Ortega</v>
          </cell>
          <cell r="L94" t="str">
            <v>Kati Lawson</v>
          </cell>
          <cell r="M94" t="str">
            <v>1/27/2006</v>
          </cell>
          <cell r="N94" t="str">
            <v>9/25/2006</v>
          </cell>
          <cell r="O94" t="str">
            <v>10/23/2006</v>
          </cell>
          <cell r="P94" t="str">
            <v>12/26/2006</v>
          </cell>
        </row>
        <row r="95">
          <cell r="A95" t="str">
            <v>Clermont FL 1120 E Hwy 50</v>
          </cell>
          <cell r="B95" t="str">
            <v>REC Approved</v>
          </cell>
          <cell r="C95">
            <v>976475</v>
          </cell>
          <cell r="D95">
            <v>1647</v>
          </cell>
          <cell r="E95">
            <v>58</v>
          </cell>
          <cell r="F95" t="str">
            <v>SCC-S</v>
          </cell>
          <cell r="G95" t="str">
            <v>47 - Southeast</v>
          </cell>
          <cell r="H95">
            <v>1710</v>
          </cell>
          <cell r="I95">
            <v>217534</v>
          </cell>
          <cell r="K95" t="str">
            <v>Stephen Ortega</v>
          </cell>
          <cell r="L95" t="str">
            <v>Chris Varney</v>
          </cell>
          <cell r="M95" t="str">
            <v>8/25/2006</v>
          </cell>
          <cell r="N95" t="str">
            <v>10/27/2006</v>
          </cell>
          <cell r="O95" t="str">
            <v>10/30/2006</v>
          </cell>
          <cell r="P95" t="str">
            <v>12/26/2006</v>
          </cell>
        </row>
        <row r="96">
          <cell r="A96" t="str">
            <v>Burlington WA Burlington Blvd &amp; George Hopper</v>
          </cell>
          <cell r="B96" t="str">
            <v>REC Approved</v>
          </cell>
          <cell r="C96">
            <v>976194</v>
          </cell>
          <cell r="D96">
            <v>1433</v>
          </cell>
          <cell r="E96">
            <v>1</v>
          </cell>
          <cell r="F96" t="str">
            <v>SCC-S</v>
          </cell>
          <cell r="G96" t="str">
            <v>38 - Northwest</v>
          </cell>
          <cell r="H96">
            <v>2000</v>
          </cell>
          <cell r="I96">
            <v>265715</v>
          </cell>
          <cell r="K96" t="str">
            <v>Dave  Triplett</v>
          </cell>
          <cell r="L96" t="str">
            <v>Dennis McKee</v>
          </cell>
          <cell r="M96" t="str">
            <v>3/23/2006</v>
          </cell>
          <cell r="N96" t="str">
            <v>6/5/2006</v>
          </cell>
          <cell r="O96" t="str">
            <v>11/13/2006</v>
          </cell>
          <cell r="P96" t="str">
            <v>1/8/2007</v>
          </cell>
        </row>
        <row r="97">
          <cell r="A97" t="str">
            <v>Hialeah FL W 49th Street</v>
          </cell>
          <cell r="B97" t="str">
            <v>REC Approved</v>
          </cell>
          <cell r="C97">
            <v>976392</v>
          </cell>
          <cell r="D97">
            <v>1507</v>
          </cell>
          <cell r="E97">
            <v>56</v>
          </cell>
          <cell r="F97" t="str">
            <v>SCC-S</v>
          </cell>
          <cell r="G97" t="str">
            <v>47 - Southeast</v>
          </cell>
          <cell r="H97">
            <v>1650</v>
          </cell>
          <cell r="I97">
            <v>225855</v>
          </cell>
          <cell r="K97" t="str">
            <v>Stephen Ortega</v>
          </cell>
          <cell r="L97" t="str">
            <v>Carrie Shirley</v>
          </cell>
          <cell r="M97" t="str">
            <v>7/7/2006</v>
          </cell>
          <cell r="N97" t="str">
            <v>9/15/2006</v>
          </cell>
          <cell r="O97" t="str">
            <v>11/6/2006</v>
          </cell>
          <cell r="P97" t="str">
            <v>1/8/2007</v>
          </cell>
        </row>
        <row r="98">
          <cell r="A98" t="str">
            <v>Huntsville AL Hwy 72 and Waddell Dr</v>
          </cell>
          <cell r="B98" t="str">
            <v>REC Approved</v>
          </cell>
          <cell r="C98">
            <v>976421</v>
          </cell>
          <cell r="D98">
            <v>1595</v>
          </cell>
          <cell r="E98">
            <v>55</v>
          </cell>
          <cell r="F98" t="str">
            <v>SCC-S</v>
          </cell>
          <cell r="G98" t="str">
            <v>47 - Southeast</v>
          </cell>
          <cell r="H98">
            <v>1600</v>
          </cell>
          <cell r="I98">
            <v>230618</v>
          </cell>
          <cell r="K98" t="str">
            <v>Stephen Ortega</v>
          </cell>
          <cell r="L98" t="str">
            <v>Chris Varney</v>
          </cell>
          <cell r="M98" t="str">
            <v>8/4/2006</v>
          </cell>
          <cell r="N98" t="str">
            <v>10/6/2006</v>
          </cell>
          <cell r="O98" t="str">
            <v>11/6/2006</v>
          </cell>
          <cell r="P98" t="str">
            <v>1/8/2007</v>
          </cell>
        </row>
        <row r="99">
          <cell r="A99" t="str">
            <v xml:space="preserve">Wayne PA </v>
          </cell>
          <cell r="B99" t="str">
            <v>REC Approved</v>
          </cell>
          <cell r="C99">
            <v>976283</v>
          </cell>
          <cell r="D99">
            <v>1466</v>
          </cell>
          <cell r="E99">
            <v>71</v>
          </cell>
          <cell r="F99" t="str">
            <v>SCC-S</v>
          </cell>
          <cell r="G99" t="str">
            <v>45 - Mid-Atlantic</v>
          </cell>
          <cell r="H99">
            <v>2000</v>
          </cell>
          <cell r="I99">
            <v>222967</v>
          </cell>
          <cell r="K99" t="str">
            <v>Steve Pearson</v>
          </cell>
          <cell r="L99" t="str">
            <v>Kim Trignano</v>
          </cell>
          <cell r="M99" t="str">
            <v>6/1/2006</v>
          </cell>
          <cell r="N99" t="str">
            <v>10/6/2006</v>
          </cell>
          <cell r="O99" t="str">
            <v>11/13/2006</v>
          </cell>
          <cell r="P99" t="str">
            <v>1/15/2007</v>
          </cell>
        </row>
        <row r="100">
          <cell r="A100" t="str">
            <v>Oldsmar FL North Tampa Shores</v>
          </cell>
          <cell r="B100" t="str">
            <v>REC Approved</v>
          </cell>
          <cell r="C100">
            <v>976349</v>
          </cell>
          <cell r="D100">
            <v>1477</v>
          </cell>
          <cell r="E100">
            <v>57</v>
          </cell>
          <cell r="F100" t="str">
            <v>SCC-S</v>
          </cell>
          <cell r="G100" t="str">
            <v>47 - Southeast</v>
          </cell>
          <cell r="H100">
            <v>1970</v>
          </cell>
          <cell r="I100">
            <v>247545</v>
          </cell>
          <cell r="K100" t="str">
            <v>Stephen Ortega</v>
          </cell>
          <cell r="L100" t="str">
            <v>Chris Varney</v>
          </cell>
          <cell r="M100" t="str">
            <v>6/30/2006</v>
          </cell>
          <cell r="N100" t="str">
            <v>9/9/2006</v>
          </cell>
          <cell r="O100" t="str">
            <v>11/20/2006</v>
          </cell>
          <cell r="P100" t="str">
            <v>1/15/2007</v>
          </cell>
        </row>
        <row r="101">
          <cell r="A101" t="str">
            <v>West Chicago IL  RTE 59 and North Ave</v>
          </cell>
          <cell r="B101" t="str">
            <v>REC Approved</v>
          </cell>
          <cell r="C101">
            <v>976325</v>
          </cell>
          <cell r="D101">
            <v>1497</v>
          </cell>
          <cell r="E101">
            <v>87</v>
          </cell>
          <cell r="F101" t="str">
            <v>SCC-S</v>
          </cell>
          <cell r="G101" t="str">
            <v>49 - Midwest</v>
          </cell>
          <cell r="H101">
            <v>1666</v>
          </cell>
          <cell r="I101">
            <v>238842</v>
          </cell>
          <cell r="K101" t="str">
            <v>Henry  Alva</v>
          </cell>
          <cell r="L101" t="str">
            <v>Kati Lawson</v>
          </cell>
          <cell r="M101" t="str">
            <v>6/30/2006</v>
          </cell>
          <cell r="N101" t="str">
            <v>10/9/2006</v>
          </cell>
          <cell r="O101" t="str">
            <v>11/13/2006</v>
          </cell>
          <cell r="P101" t="str">
            <v>1/15/2007</v>
          </cell>
        </row>
        <row r="102">
          <cell r="A102" t="str">
            <v>Trooper, PA</v>
          </cell>
          <cell r="B102" t="str">
            <v>REC Approved</v>
          </cell>
          <cell r="C102">
            <v>976340</v>
          </cell>
          <cell r="D102">
            <v>1495</v>
          </cell>
          <cell r="E102">
            <v>71</v>
          </cell>
          <cell r="F102" t="str">
            <v>SCC-S</v>
          </cell>
          <cell r="G102" t="str">
            <v>45 - Mid-Atlantic</v>
          </cell>
          <cell r="H102">
            <v>1600</v>
          </cell>
          <cell r="I102">
            <v>267101</v>
          </cell>
          <cell r="K102" t="str">
            <v>Steve Pearson</v>
          </cell>
          <cell r="L102" t="str">
            <v>Kim Trignano</v>
          </cell>
          <cell r="M102" t="str">
            <v>6/30/2006</v>
          </cell>
          <cell r="N102" t="str">
            <v>9/29/2006</v>
          </cell>
          <cell r="O102" t="str">
            <v>11/13/2006</v>
          </cell>
          <cell r="P102" t="str">
            <v>1/15/2007</v>
          </cell>
        </row>
        <row r="103">
          <cell r="A103" t="str">
            <v>Amarillo TX S. Soncy Road &amp; 34th</v>
          </cell>
          <cell r="B103" t="str">
            <v>REC Approved</v>
          </cell>
          <cell r="C103">
            <v>976504</v>
          </cell>
          <cell r="D103">
            <v>1639</v>
          </cell>
          <cell r="E103">
            <v>31</v>
          </cell>
          <cell r="F103" t="str">
            <v>SCC-SA</v>
          </cell>
          <cell r="G103" t="str">
            <v>41 - South Central</v>
          </cell>
          <cell r="H103">
            <v>1907</v>
          </cell>
          <cell r="I103">
            <v>276511</v>
          </cell>
          <cell r="K103" t="str">
            <v>Henry  Alva</v>
          </cell>
          <cell r="L103" t="str">
            <v>Lisa Loreto</v>
          </cell>
          <cell r="M103" t="str">
            <v>8/25/2006</v>
          </cell>
          <cell r="N103" t="str">
            <v>11/3/2006</v>
          </cell>
          <cell r="O103" t="str">
            <v>11/20/2006</v>
          </cell>
          <cell r="P103" t="str">
            <v>1/15/2007</v>
          </cell>
        </row>
        <row r="104">
          <cell r="A104" t="str">
            <v>Auburn Hills, MI (Shops at the Crossing)</v>
          </cell>
          <cell r="B104" t="str">
            <v>REC Approved</v>
          </cell>
          <cell r="C104">
            <v>976496</v>
          </cell>
          <cell r="D104">
            <v>1648</v>
          </cell>
          <cell r="E104">
            <v>52</v>
          </cell>
          <cell r="F104" t="str">
            <v>SCC-S</v>
          </cell>
          <cell r="G104" t="str">
            <v>49 - Midwest</v>
          </cell>
          <cell r="H104">
            <v>2000</v>
          </cell>
          <cell r="I104">
            <v>254706</v>
          </cell>
          <cell r="K104" t="str">
            <v>Steve Pearson</v>
          </cell>
          <cell r="L104" t="str">
            <v>Kati Lawson</v>
          </cell>
          <cell r="M104" t="str">
            <v>8/25/2006</v>
          </cell>
          <cell r="N104" t="str">
            <v>10/27/2006</v>
          </cell>
          <cell r="O104" t="str">
            <v>11/13/2006</v>
          </cell>
          <cell r="P104" t="str">
            <v>1/15/2007</v>
          </cell>
        </row>
        <row r="105">
          <cell r="A105" t="str">
            <v>Algonquin IL 1490 S. Randall Road</v>
          </cell>
          <cell r="B105" t="str">
            <v>REC Approved</v>
          </cell>
          <cell r="C105">
            <v>976409</v>
          </cell>
          <cell r="D105">
            <v>1592</v>
          </cell>
          <cell r="E105">
            <v>87</v>
          </cell>
          <cell r="F105" t="str">
            <v>SCC-S</v>
          </cell>
          <cell r="G105" t="str">
            <v>49 - Midwest</v>
          </cell>
          <cell r="H105">
            <v>1900</v>
          </cell>
          <cell r="I105">
            <v>260525</v>
          </cell>
          <cell r="K105" t="str">
            <v>Henry  Alva</v>
          </cell>
          <cell r="L105" t="str">
            <v>Kati Lawson</v>
          </cell>
          <cell r="M105" t="str">
            <v>7/28/2006</v>
          </cell>
          <cell r="N105" t="str">
            <v>10/5/2006</v>
          </cell>
          <cell r="O105" t="str">
            <v>11/20/2006</v>
          </cell>
          <cell r="P105" t="str">
            <v>1/22/2007</v>
          </cell>
        </row>
        <row r="106">
          <cell r="A106" t="str">
            <v>Corona CA Ontario and California</v>
          </cell>
          <cell r="B106" t="str">
            <v>REC Approved</v>
          </cell>
          <cell r="C106">
            <v>976355</v>
          </cell>
          <cell r="D106">
            <v>1498</v>
          </cell>
          <cell r="E106">
            <v>23</v>
          </cell>
          <cell r="F106" t="str">
            <v>SCC-S</v>
          </cell>
          <cell r="G106" t="str">
            <v>39 - SoCal</v>
          </cell>
          <cell r="H106">
            <v>1802</v>
          </cell>
          <cell r="I106">
            <v>256439</v>
          </cell>
          <cell r="K106" t="str">
            <v>Dave  Triplett</v>
          </cell>
          <cell r="L106" t="str">
            <v>Dennis McKee</v>
          </cell>
          <cell r="M106" t="str">
            <v>6/30/2006</v>
          </cell>
          <cell r="N106" t="str">
            <v>7/28/2006</v>
          </cell>
          <cell r="O106" t="str">
            <v>11/27/2006</v>
          </cell>
          <cell r="P106" t="str">
            <v>1/22/2007</v>
          </cell>
        </row>
        <row r="107">
          <cell r="A107" t="str">
            <v xml:space="preserve">Blaine, MN - Northtown </v>
          </cell>
          <cell r="B107" t="str">
            <v>REC Approved</v>
          </cell>
          <cell r="C107">
            <v>976490</v>
          </cell>
          <cell r="D107">
            <v>1634</v>
          </cell>
          <cell r="E107">
            <v>41</v>
          </cell>
          <cell r="F107" t="str">
            <v>SCC-S</v>
          </cell>
          <cell r="G107" t="str">
            <v>38 - Northwest</v>
          </cell>
          <cell r="H107">
            <v>1760</v>
          </cell>
          <cell r="I107">
            <v>256696</v>
          </cell>
          <cell r="K107" t="str">
            <v>Henry  Alva</v>
          </cell>
          <cell r="L107" t="str">
            <v>Dennis McKee</v>
          </cell>
          <cell r="M107" t="str">
            <v>8/18/2006</v>
          </cell>
          <cell r="N107" t="str">
            <v>10/27/2006</v>
          </cell>
          <cell r="O107" t="str">
            <v>11/27/2006</v>
          </cell>
          <cell r="P107" t="str">
            <v>1/22/2007</v>
          </cell>
        </row>
        <row r="108">
          <cell r="A108" t="str">
            <v>Chesterfield MO Boones Crossing</v>
          </cell>
          <cell r="B108" t="str">
            <v>REC Approved</v>
          </cell>
          <cell r="C108">
            <v>976499</v>
          </cell>
          <cell r="D108">
            <v>1638</v>
          </cell>
          <cell r="E108">
            <v>39</v>
          </cell>
          <cell r="F108" t="str">
            <v>SCC-S</v>
          </cell>
          <cell r="G108" t="str">
            <v>49 - Midwest</v>
          </cell>
          <cell r="H108">
            <v>2014</v>
          </cell>
          <cell r="I108">
            <v>282165</v>
          </cell>
          <cell r="K108" t="str">
            <v>Henry  Alva</v>
          </cell>
          <cell r="L108" t="str">
            <v>Brian Huckins</v>
          </cell>
          <cell r="M108" t="str">
            <v>8/25/2006</v>
          </cell>
          <cell r="N108" t="str">
            <v>11/4/2006</v>
          </cell>
          <cell r="O108" t="str">
            <v>11/27/2006</v>
          </cell>
          <cell r="P108" t="str">
            <v>1/22/2007</v>
          </cell>
        </row>
        <row r="109">
          <cell r="A109" t="str">
            <v>Miami FL 137th Ave SW</v>
          </cell>
          <cell r="B109" t="str">
            <v>REC Approved</v>
          </cell>
          <cell r="C109">
            <v>976435</v>
          </cell>
          <cell r="D109">
            <v>1623</v>
          </cell>
          <cell r="E109">
            <v>56</v>
          </cell>
          <cell r="F109" t="str">
            <v>SCC-S</v>
          </cell>
          <cell r="G109" t="str">
            <v>47 - Southeast</v>
          </cell>
          <cell r="H109">
            <v>1700</v>
          </cell>
          <cell r="I109">
            <v>241318</v>
          </cell>
          <cell r="K109" t="str">
            <v>Stephen Ortega</v>
          </cell>
          <cell r="L109" t="str">
            <v>Chris Varney</v>
          </cell>
          <cell r="M109" t="str">
            <v>8/11/2006</v>
          </cell>
          <cell r="N109" t="str">
            <v>9/22/2006</v>
          </cell>
          <cell r="O109" t="str">
            <v>11/27/2006</v>
          </cell>
          <cell r="P109" t="str">
            <v>1/22/2007</v>
          </cell>
        </row>
        <row r="110">
          <cell r="A110" t="str">
            <v>Shelby, MI - Hall Rd.</v>
          </cell>
          <cell r="B110" t="str">
            <v>REC Approved</v>
          </cell>
          <cell r="C110">
            <v>976573</v>
          </cell>
          <cell r="D110">
            <v>1652</v>
          </cell>
          <cell r="E110">
            <v>52</v>
          </cell>
          <cell r="F110" t="str">
            <v>SCC-S</v>
          </cell>
          <cell r="G110" t="str">
            <v>49 - Midwest</v>
          </cell>
          <cell r="H110">
            <v>2000</v>
          </cell>
          <cell r="I110">
            <v>255812</v>
          </cell>
          <cell r="K110" t="str">
            <v>Steve Pearson</v>
          </cell>
          <cell r="L110" t="str">
            <v>Kati Lawson</v>
          </cell>
          <cell r="M110" t="str">
            <v>9/1/2006</v>
          </cell>
          <cell r="N110" t="str">
            <v>10/20/2006</v>
          </cell>
          <cell r="O110" t="str">
            <v>11/27/2006</v>
          </cell>
          <cell r="P110" t="str">
            <v>1/22/2007</v>
          </cell>
        </row>
        <row r="111">
          <cell r="A111" t="str">
            <v>Anderson IN S. Scatterfield</v>
          </cell>
          <cell r="B111" t="str">
            <v>REC Approved</v>
          </cell>
          <cell r="C111">
            <v>976207</v>
          </cell>
          <cell r="D111">
            <v>1429</v>
          </cell>
          <cell r="E111">
            <v>45</v>
          </cell>
          <cell r="F111" t="str">
            <v>SCC-S</v>
          </cell>
          <cell r="G111" t="str">
            <v>49 - Midwest</v>
          </cell>
          <cell r="H111">
            <v>1820</v>
          </cell>
          <cell r="I111">
            <v>248719</v>
          </cell>
          <cell r="K111" t="str">
            <v>Henry  Alva</v>
          </cell>
          <cell r="L111" t="str">
            <v>Kim Trignano</v>
          </cell>
          <cell r="M111" t="str">
            <v>3/23/2006</v>
          </cell>
          <cell r="N111" t="str">
            <v>6/29/2006</v>
          </cell>
          <cell r="O111" t="str">
            <v>12/11/2006</v>
          </cell>
          <cell r="P111" t="str">
            <v>1/29/2007</v>
          </cell>
        </row>
        <row r="112">
          <cell r="A112" t="str">
            <v>Greenfield IN N State St</v>
          </cell>
          <cell r="B112" t="str">
            <v>REC Approved</v>
          </cell>
          <cell r="C112">
            <v>976257</v>
          </cell>
          <cell r="D112">
            <v>1462</v>
          </cell>
          <cell r="E112">
            <v>45</v>
          </cell>
          <cell r="F112" t="str">
            <v>SCC-S</v>
          </cell>
          <cell r="G112" t="str">
            <v>49 - Midwest</v>
          </cell>
          <cell r="H112">
            <v>1800</v>
          </cell>
          <cell r="I112">
            <v>240708</v>
          </cell>
          <cell r="K112" t="str">
            <v>Henry  Alva</v>
          </cell>
          <cell r="L112" t="str">
            <v>Kim Trignano</v>
          </cell>
          <cell r="M112" t="str">
            <v>5/4/2006</v>
          </cell>
          <cell r="N112" t="str">
            <v>10/9/2006</v>
          </cell>
          <cell r="O112" t="str">
            <v>12/11/2006</v>
          </cell>
          <cell r="P112" t="str">
            <v>1/29/2007</v>
          </cell>
        </row>
        <row r="113">
          <cell r="A113" t="str">
            <v>Lakeville, MN - Argonne Village</v>
          </cell>
          <cell r="B113" t="str">
            <v>REC Approved</v>
          </cell>
          <cell r="C113">
            <v>976423</v>
          </cell>
          <cell r="D113">
            <v>1594</v>
          </cell>
          <cell r="E113">
            <v>42</v>
          </cell>
          <cell r="F113" t="str">
            <v>SCC-S</v>
          </cell>
          <cell r="G113" t="str">
            <v>38 - Northwest</v>
          </cell>
          <cell r="H113">
            <v>1800</v>
          </cell>
          <cell r="I113">
            <v>259731</v>
          </cell>
          <cell r="K113" t="str">
            <v>Henry  Alva</v>
          </cell>
          <cell r="L113" t="str">
            <v>Kati Lawson</v>
          </cell>
          <cell r="M113" t="str">
            <v>7/28/2006</v>
          </cell>
          <cell r="N113" t="str">
            <v>10/5/2006</v>
          </cell>
          <cell r="O113" t="str">
            <v>12/4/2006</v>
          </cell>
          <cell r="P113" t="str">
            <v>1/29/2007</v>
          </cell>
        </row>
        <row r="114">
          <cell r="A114" t="str">
            <v>Oak Creek, WI</v>
          </cell>
          <cell r="B114" t="str">
            <v>REC Approved</v>
          </cell>
          <cell r="C114">
            <v>976492</v>
          </cell>
          <cell r="D114">
            <v>1636</v>
          </cell>
          <cell r="E114">
            <v>53</v>
          </cell>
          <cell r="F114" t="str">
            <v>SCC-S</v>
          </cell>
          <cell r="G114" t="str">
            <v>49 - Midwest</v>
          </cell>
          <cell r="H114">
            <v>1800</v>
          </cell>
          <cell r="I114">
            <v>257624</v>
          </cell>
          <cell r="K114" t="str">
            <v>Henry  Alva</v>
          </cell>
          <cell r="L114" t="str">
            <v>Kati Lawson</v>
          </cell>
          <cell r="M114" t="str">
            <v>8/25/2006</v>
          </cell>
          <cell r="N114" t="str">
            <v>11/3/2006</v>
          </cell>
          <cell r="O114" t="str">
            <v>12/4/2006</v>
          </cell>
          <cell r="P114" t="str">
            <v>1/29/2007</v>
          </cell>
        </row>
        <row r="115">
          <cell r="A115" t="str">
            <v>Plainfield IN 2245 Main Street</v>
          </cell>
          <cell r="B115" t="str">
            <v>REC Approved</v>
          </cell>
          <cell r="C115">
            <v>976137</v>
          </cell>
          <cell r="D115">
            <v>1465</v>
          </cell>
          <cell r="E115">
            <v>45</v>
          </cell>
          <cell r="F115" t="str">
            <v>SCC-S</v>
          </cell>
          <cell r="G115" t="str">
            <v>49 - Midwest</v>
          </cell>
          <cell r="H115">
            <v>1958</v>
          </cell>
          <cell r="I115">
            <v>238787</v>
          </cell>
          <cell r="K115" t="str">
            <v>Henry  Alva</v>
          </cell>
          <cell r="L115" t="str">
            <v>Kati Lawson</v>
          </cell>
          <cell r="M115" t="str">
            <v>6/1/2006</v>
          </cell>
          <cell r="N115" t="str">
            <v>8/10/2006</v>
          </cell>
          <cell r="O115" t="str">
            <v>12/18/2006</v>
          </cell>
          <cell r="P115" t="str">
            <v>2/12/2007</v>
          </cell>
        </row>
        <row r="116">
          <cell r="A116" t="str">
            <v>Peoria AZ 91st and Northern</v>
          </cell>
          <cell r="B116" t="str">
            <v>REC Approved</v>
          </cell>
          <cell r="C116">
            <v>976284</v>
          </cell>
          <cell r="D116">
            <v>1471</v>
          </cell>
          <cell r="E116">
            <v>26</v>
          </cell>
          <cell r="F116" t="str">
            <v>SCC-S</v>
          </cell>
          <cell r="G116" t="str">
            <v>35 - Heartland</v>
          </cell>
          <cell r="H116">
            <v>1890</v>
          </cell>
          <cell r="I116">
            <v>268620</v>
          </cell>
          <cell r="K116" t="str">
            <v>Dave  Triplett</v>
          </cell>
          <cell r="L116" t="str">
            <v>Dennis McKee</v>
          </cell>
          <cell r="M116" t="str">
            <v>5/18/2006</v>
          </cell>
          <cell r="N116" t="str">
            <v>8/16/2006</v>
          </cell>
          <cell r="O116" t="str">
            <v>12/18/2006</v>
          </cell>
          <cell r="P116" t="str">
            <v>2/19/2007</v>
          </cell>
        </row>
        <row r="117">
          <cell r="A117" t="str">
            <v>Greenville SC N Pleasantburg Drive and State Park Rd</v>
          </cell>
          <cell r="B117" t="str">
            <v>REC Approved</v>
          </cell>
          <cell r="C117">
            <v>976452</v>
          </cell>
          <cell r="D117">
            <v>1646</v>
          </cell>
          <cell r="E117">
            <v>45</v>
          </cell>
          <cell r="F117" t="str">
            <v>SCC-S</v>
          </cell>
          <cell r="G117" t="str">
            <v>45 - Mid-Atlantic</v>
          </cell>
          <cell r="H117">
            <v>1960</v>
          </cell>
          <cell r="I117">
            <v>237863</v>
          </cell>
          <cell r="K117" t="str">
            <v>Stephen Ortega</v>
          </cell>
          <cell r="L117" t="str">
            <v>Lisa Dews</v>
          </cell>
          <cell r="M117" t="str">
            <v>8/25/2006</v>
          </cell>
          <cell r="N117" t="str">
            <v>11/3/2006</v>
          </cell>
          <cell r="O117" t="str">
            <v>12/18/2006</v>
          </cell>
          <cell r="P117" t="str">
            <v>2/19/2007</v>
          </cell>
        </row>
        <row r="118">
          <cell r="A118" t="str">
            <v>Prescott AZ Gail Gardener Way and Iron Springs</v>
          </cell>
          <cell r="B118" t="str">
            <v>REC Approved</v>
          </cell>
          <cell r="C118">
            <v>976560</v>
          </cell>
          <cell r="D118">
            <v>1644</v>
          </cell>
          <cell r="E118">
            <v>26</v>
          </cell>
          <cell r="F118" t="str">
            <v>SCC-SA</v>
          </cell>
          <cell r="G118" t="str">
            <v>35 - Heartland</v>
          </cell>
          <cell r="H118">
            <v>1800</v>
          </cell>
          <cell r="I118">
            <v>329144</v>
          </cell>
          <cell r="K118" t="str">
            <v>Dave  Triplett</v>
          </cell>
          <cell r="L118" t="str">
            <v>Clair Rose</v>
          </cell>
          <cell r="M118" t="str">
            <v>8/25/2006</v>
          </cell>
          <cell r="N118" t="str">
            <v>11/16/2006</v>
          </cell>
          <cell r="O118" t="str">
            <v>1/8/2007</v>
          </cell>
          <cell r="P118" t="str">
            <v>3/5/2007</v>
          </cell>
        </row>
        <row r="119">
          <cell r="A119" t="str">
            <v>Reading PA  5th Street</v>
          </cell>
          <cell r="B119" t="str">
            <v>REC Approved</v>
          </cell>
          <cell r="C119">
            <v>976288</v>
          </cell>
          <cell r="D119">
            <v>1467</v>
          </cell>
          <cell r="E119">
            <v>71</v>
          </cell>
          <cell r="F119" t="str">
            <v>SCC-S</v>
          </cell>
          <cell r="G119" t="str">
            <v>45 - Mid-Atlantic</v>
          </cell>
          <cell r="H119">
            <v>2000</v>
          </cell>
          <cell r="I119">
            <v>262545</v>
          </cell>
          <cell r="K119" t="str">
            <v>Steve Pearson</v>
          </cell>
          <cell r="L119" t="str">
            <v>Brian Huckins</v>
          </cell>
          <cell r="M119" t="str">
            <v>6/1/2006</v>
          </cell>
          <cell r="N119" t="str">
            <v>9/11/2006</v>
          </cell>
          <cell r="O119" t="str">
            <v>1/15/2007</v>
          </cell>
          <cell r="P119" t="str">
            <v>3/12/2007</v>
          </cell>
        </row>
        <row r="120">
          <cell r="A120" t="str">
            <v>Charlotte NC Hwy 51 &amp; Park Rd</v>
          </cell>
          <cell r="B120" t="str">
            <v>REC Approved</v>
          </cell>
          <cell r="C120">
            <v>976305</v>
          </cell>
          <cell r="D120">
            <v>1481</v>
          </cell>
          <cell r="E120">
            <v>60</v>
          </cell>
          <cell r="F120" t="str">
            <v>SCC-RSA</v>
          </cell>
          <cell r="G120" t="str">
            <v>45 - Mid-Atlantic</v>
          </cell>
          <cell r="H120">
            <v>2000</v>
          </cell>
          <cell r="I120">
            <v>277757</v>
          </cell>
          <cell r="K120" t="str">
            <v>Stephen Ortega</v>
          </cell>
          <cell r="L120" t="str">
            <v>Lisa Dews</v>
          </cell>
          <cell r="M120" t="str">
            <v>5/18/2006</v>
          </cell>
          <cell r="N120" t="str">
            <v>8/11/2006</v>
          </cell>
          <cell r="O120" t="str">
            <v>1/22/2007</v>
          </cell>
          <cell r="P120" t="str">
            <v>3/12/2007</v>
          </cell>
        </row>
        <row r="121">
          <cell r="A121" t="str">
            <v>Rockwall TX I-30 at Mims Road</v>
          </cell>
          <cell r="B121" t="str">
            <v>REC Approved</v>
          </cell>
          <cell r="C121">
            <v>976424</v>
          </cell>
          <cell r="D121">
            <v>1579</v>
          </cell>
          <cell r="E121">
            <v>29</v>
          </cell>
          <cell r="F121" t="str">
            <v>SCC-S</v>
          </cell>
          <cell r="G121" t="str">
            <v>41 - South Central</v>
          </cell>
          <cell r="H121">
            <v>2000</v>
          </cell>
          <cell r="I121">
            <v>264445</v>
          </cell>
          <cell r="K121" t="str">
            <v>Henry  Alva</v>
          </cell>
          <cell r="L121" t="str">
            <v>Lisa Loreto</v>
          </cell>
          <cell r="M121" t="str">
            <v>7/21/2006</v>
          </cell>
          <cell r="N121" t="str">
            <v>10/13/2006</v>
          </cell>
          <cell r="O121" t="str">
            <v>1/22/2007</v>
          </cell>
          <cell r="P121" t="str">
            <v>3/19/2007</v>
          </cell>
        </row>
        <row r="122">
          <cell r="A122" t="str">
            <v xml:space="preserve">Chicago IL 200 N. Jefferson </v>
          </cell>
          <cell r="B122" t="str">
            <v>REC Approved</v>
          </cell>
          <cell r="C122">
            <v>976448</v>
          </cell>
          <cell r="D122">
            <v>1635</v>
          </cell>
          <cell r="E122">
            <v>48</v>
          </cell>
          <cell r="F122" t="str">
            <v>SCC-S</v>
          </cell>
          <cell r="G122" t="str">
            <v>49 - Midwest</v>
          </cell>
          <cell r="H122">
            <v>1946</v>
          </cell>
          <cell r="I122">
            <v>270857</v>
          </cell>
          <cell r="K122" t="str">
            <v>Henry  Alva</v>
          </cell>
          <cell r="L122" t="str">
            <v>Kati Lawson</v>
          </cell>
          <cell r="M122" t="str">
            <v>8/18/2006</v>
          </cell>
          <cell r="N122" t="str">
            <v>10/16/2006</v>
          </cell>
          <cell r="O122" t="str">
            <v>1/22/2007</v>
          </cell>
          <cell r="P122" t="str">
            <v>3/19/2007</v>
          </cell>
        </row>
        <row r="123">
          <cell r="A123" t="str">
            <v>Tracy, CA W Grant Line &amp; Corral Hollow</v>
          </cell>
          <cell r="B123" t="str">
            <v>REC Approved</v>
          </cell>
          <cell r="C123">
            <v>976264</v>
          </cell>
          <cell r="D123">
            <v>1469</v>
          </cell>
          <cell r="E123">
            <v>15</v>
          </cell>
          <cell r="F123" t="str">
            <v>SCC-S</v>
          </cell>
          <cell r="G123" t="str">
            <v>40 - Bay Area</v>
          </cell>
          <cell r="H123">
            <v>1900</v>
          </cell>
          <cell r="I123">
            <v>278414</v>
          </cell>
          <cell r="K123" t="str">
            <v>Dave  Triplett</v>
          </cell>
          <cell r="L123" t="str">
            <v>Clair Rose</v>
          </cell>
          <cell r="M123" t="str">
            <v>5/4/2006</v>
          </cell>
          <cell r="N123" t="str">
            <v>8/2/2006</v>
          </cell>
          <cell r="O123" t="str">
            <v>1/29/2007</v>
          </cell>
          <cell r="P123" t="str">
            <v>3/26/2007</v>
          </cell>
        </row>
        <row r="124">
          <cell r="A124" t="str">
            <v>Destin FL US Hwy 98</v>
          </cell>
          <cell r="B124" t="str">
            <v>REC Approved</v>
          </cell>
          <cell r="C124">
            <v>976436</v>
          </cell>
          <cell r="D124">
            <v>1586</v>
          </cell>
          <cell r="E124">
            <v>55</v>
          </cell>
          <cell r="F124" t="str">
            <v>SCC-RSA</v>
          </cell>
          <cell r="G124" t="str">
            <v>47 - Southeast</v>
          </cell>
          <cell r="H124">
            <v>2000</v>
          </cell>
          <cell r="I124">
            <v>310981</v>
          </cell>
          <cell r="K124" t="str">
            <v>Stephen Ortega</v>
          </cell>
          <cell r="L124" t="str">
            <v>Chris Varney</v>
          </cell>
          <cell r="M124" t="str">
            <v>7/28/2006</v>
          </cell>
          <cell r="N124" t="str">
            <v>10/6/2006</v>
          </cell>
          <cell r="O124" t="str">
            <v>2/19/2007</v>
          </cell>
          <cell r="P124" t="str">
            <v>4/16/2007</v>
          </cell>
        </row>
        <row r="125">
          <cell r="A125" t="str">
            <v>Venice FL US Hwy 41 Bypass at Center Rd</v>
          </cell>
          <cell r="B125" t="str">
            <v>REC Approved</v>
          </cell>
          <cell r="C125">
            <v>976382</v>
          </cell>
          <cell r="D125">
            <v>1543</v>
          </cell>
          <cell r="E125">
            <v>57</v>
          </cell>
          <cell r="F125" t="str">
            <v>SCC-S</v>
          </cell>
          <cell r="G125" t="str">
            <v>47 - Southeast</v>
          </cell>
          <cell r="H125">
            <v>2000</v>
          </cell>
          <cell r="I125">
            <v>247946</v>
          </cell>
          <cell r="K125" t="str">
            <v>Stephen Ortega</v>
          </cell>
          <cell r="L125" t="str">
            <v>Chris Varney</v>
          </cell>
          <cell r="M125" t="str">
            <v>7/14/2006</v>
          </cell>
          <cell r="N125" t="str">
            <v>9/22/2006</v>
          </cell>
          <cell r="O125" t="str">
            <v>2/19/2007</v>
          </cell>
          <cell r="P125" t="str">
            <v>4/16/2007</v>
          </cell>
        </row>
        <row r="126">
          <cell r="A126" t="str">
            <v>Surprise AZ W Bell Rd and Litchfield</v>
          </cell>
          <cell r="B126" t="str">
            <v>REC Approved</v>
          </cell>
          <cell r="C126">
            <v>976432</v>
          </cell>
          <cell r="D126">
            <v>1548</v>
          </cell>
          <cell r="E126">
            <v>26</v>
          </cell>
          <cell r="F126" t="str">
            <v>SCC-S</v>
          </cell>
          <cell r="G126" t="str">
            <v>35 - Heartland</v>
          </cell>
          <cell r="H126">
            <v>1700</v>
          </cell>
          <cell r="I126">
            <v>247391</v>
          </cell>
          <cell r="K126" t="str">
            <v>Dave  Triplett</v>
          </cell>
          <cell r="L126" t="str">
            <v>Kim Trignano</v>
          </cell>
          <cell r="M126" t="str">
            <v>7/14/2006</v>
          </cell>
          <cell r="N126" t="str">
            <v>9/25/2006</v>
          </cell>
          <cell r="O126" t="str">
            <v>2/19/2007</v>
          </cell>
          <cell r="P126" t="str">
            <v>4/16/2007</v>
          </cell>
        </row>
        <row r="127">
          <cell r="A127" t="str">
            <v>College Park MD 10214 Baltimore Ave</v>
          </cell>
          <cell r="B127" t="str">
            <v>REC Approved</v>
          </cell>
          <cell r="C127">
            <v>976105</v>
          </cell>
          <cell r="D127">
            <v>1650</v>
          </cell>
          <cell r="E127">
            <v>64</v>
          </cell>
          <cell r="F127" t="str">
            <v>SCC-S</v>
          </cell>
          <cell r="G127" t="str">
            <v>45 - Mid-Atlantic</v>
          </cell>
          <cell r="H127">
            <v>1913</v>
          </cell>
          <cell r="I127">
            <v>267831</v>
          </cell>
          <cell r="K127" t="str">
            <v>Steve Pearson</v>
          </cell>
          <cell r="L127" t="str">
            <v>Brian Huckins</v>
          </cell>
          <cell r="M127" t="str">
            <v>8/25/2006</v>
          </cell>
          <cell r="N127" t="str">
            <v>11/3/2006</v>
          </cell>
          <cell r="O127" t="str">
            <v>2/19/2007</v>
          </cell>
          <cell r="P127" t="str">
            <v>4/16/2007</v>
          </cell>
        </row>
        <row r="128">
          <cell r="A128" t="str">
            <v>Seaside, CA Fremont Blvd. and Broadway Ave.</v>
          </cell>
          <cell r="B128" t="str">
            <v>REC Approved</v>
          </cell>
          <cell r="C128">
            <v>976304</v>
          </cell>
          <cell r="D128">
            <v>1483</v>
          </cell>
          <cell r="E128">
            <v>15</v>
          </cell>
          <cell r="F128" t="str">
            <v>SCC-S</v>
          </cell>
          <cell r="G128" t="str">
            <v>40 - Bay Area</v>
          </cell>
          <cell r="H128">
            <v>1991</v>
          </cell>
          <cell r="I128">
            <v>277894</v>
          </cell>
          <cell r="K128" t="str">
            <v>Dave  Triplett</v>
          </cell>
          <cell r="L128" t="str">
            <v>Dennis McKee</v>
          </cell>
          <cell r="M128" t="str">
            <v>6/16/2006</v>
          </cell>
          <cell r="N128" t="str">
            <v>12/11/2006</v>
          </cell>
          <cell r="O128" t="str">
            <v>3/5/2007</v>
          </cell>
          <cell r="P128" t="str">
            <v>4/30/2007</v>
          </cell>
        </row>
        <row r="129">
          <cell r="A129" t="str">
            <v>Mobile AL Airport at Schillinger</v>
          </cell>
          <cell r="B129" t="str">
            <v>REC Approved</v>
          </cell>
          <cell r="C129">
            <v>976372</v>
          </cell>
          <cell r="D129">
            <v>1618</v>
          </cell>
          <cell r="E129">
            <v>55</v>
          </cell>
          <cell r="F129" t="str">
            <v>SCC-S</v>
          </cell>
          <cell r="G129" t="str">
            <v>47 - Southeast</v>
          </cell>
          <cell r="H129">
            <v>1920</v>
          </cell>
          <cell r="I129">
            <v>221060</v>
          </cell>
          <cell r="K129" t="str">
            <v>Stephen Ortega</v>
          </cell>
          <cell r="L129" t="str">
            <v>Chris Varney</v>
          </cell>
          <cell r="M129" t="str">
            <v>7/7/2006</v>
          </cell>
          <cell r="N129" t="str">
            <v>9/15/2006</v>
          </cell>
          <cell r="O129" t="str">
            <v>3/19/2007</v>
          </cell>
          <cell r="P129" t="str">
            <v>5/7/2007</v>
          </cell>
        </row>
        <row r="130">
          <cell r="A130" t="str">
            <v>Smyrna GA East West Connector at S. Cobb</v>
          </cell>
          <cell r="B130" t="str">
            <v>REC Approved</v>
          </cell>
          <cell r="C130">
            <v>976348</v>
          </cell>
          <cell r="D130">
            <v>1620</v>
          </cell>
          <cell r="E130">
            <v>90</v>
          </cell>
          <cell r="F130" t="str">
            <v>SCC-S</v>
          </cell>
          <cell r="G130" t="str">
            <v>47 - Southeast</v>
          </cell>
          <cell r="H130">
            <v>1625</v>
          </cell>
          <cell r="I130">
            <v>240577</v>
          </cell>
          <cell r="K130" t="str">
            <v>Stephen Ortega</v>
          </cell>
          <cell r="L130" t="str">
            <v>Chris Varney</v>
          </cell>
          <cell r="M130" t="str">
            <v>7/7/2006</v>
          </cell>
          <cell r="N130" t="str">
            <v>9/9/2006</v>
          </cell>
          <cell r="O130" t="str">
            <v>3/12/2007</v>
          </cell>
          <cell r="P130" t="str">
            <v>5/7/2007</v>
          </cell>
        </row>
        <row r="131">
          <cell r="A131" t="str">
            <v>San Antonio TX I-37 at SE Military Pkwy</v>
          </cell>
          <cell r="B131" t="str">
            <v>REC Approved</v>
          </cell>
          <cell r="C131">
            <v>976455</v>
          </cell>
          <cell r="D131">
            <v>1654</v>
          </cell>
          <cell r="E131">
            <v>30</v>
          </cell>
          <cell r="F131" t="str">
            <v>SCC-S</v>
          </cell>
          <cell r="G131" t="str">
            <v>41 - South Central</v>
          </cell>
          <cell r="H131">
            <v>2000</v>
          </cell>
          <cell r="K131" t="str">
            <v>Henry  Alva</v>
          </cell>
          <cell r="L131" t="str">
            <v>Lisa Loreto</v>
          </cell>
          <cell r="M131" t="str">
            <v>8/28/2006</v>
          </cell>
          <cell r="N131" t="str">
            <v>11/14/2006</v>
          </cell>
          <cell r="O131" t="str">
            <v>3/12/2007</v>
          </cell>
          <cell r="P131" t="str">
            <v>5/7/2007</v>
          </cell>
        </row>
        <row r="132">
          <cell r="A132" t="str">
            <v>Orlando FL TG Lee Commons</v>
          </cell>
          <cell r="B132" t="str">
            <v>REC Approved</v>
          </cell>
          <cell r="C132">
            <v>976270</v>
          </cell>
          <cell r="D132">
            <v>1458</v>
          </cell>
          <cell r="E132">
            <v>58</v>
          </cell>
          <cell r="F132" t="str">
            <v>SCC-S</v>
          </cell>
          <cell r="G132" t="str">
            <v>47 - Southeast</v>
          </cell>
          <cell r="H132">
            <v>1700</v>
          </cell>
          <cell r="I132">
            <v>244683</v>
          </cell>
          <cell r="K132" t="str">
            <v>Stephen Ortega</v>
          </cell>
          <cell r="L132" t="str">
            <v>Chris Varney</v>
          </cell>
          <cell r="M132" t="str">
            <v>5/4/2006</v>
          </cell>
          <cell r="N132" t="str">
            <v>7/13/2006</v>
          </cell>
          <cell r="O132" t="str">
            <v>3/19/2007</v>
          </cell>
          <cell r="P132" t="str">
            <v>5/14/2007</v>
          </cell>
        </row>
        <row r="133">
          <cell r="A133" t="str">
            <v>Arvada CO Wadsworth &amp; 55th</v>
          </cell>
          <cell r="B133" t="str">
            <v>REC Approved</v>
          </cell>
          <cell r="C133">
            <v>976454</v>
          </cell>
          <cell r="D133">
            <v>1585</v>
          </cell>
          <cell r="E133">
            <v>85</v>
          </cell>
          <cell r="F133" t="str">
            <v>SCC-S</v>
          </cell>
          <cell r="G133" t="str">
            <v>35 - Heartland</v>
          </cell>
          <cell r="H133">
            <v>1800</v>
          </cell>
          <cell r="I133">
            <v>245270</v>
          </cell>
          <cell r="K133" t="str">
            <v>Henry  Alva</v>
          </cell>
          <cell r="L133" t="str">
            <v>Chris Varney</v>
          </cell>
          <cell r="M133" t="str">
            <v>7/28/2006</v>
          </cell>
          <cell r="N133" t="str">
            <v>10/20/2006</v>
          </cell>
          <cell r="O133" t="str">
            <v>3/12/2007</v>
          </cell>
          <cell r="P133" t="str">
            <v>5/14/2007</v>
          </cell>
        </row>
        <row r="134">
          <cell r="A134" t="str">
            <v>La Plata, MD - Shining Willow &amp; Route 301</v>
          </cell>
          <cell r="B134" t="str">
            <v>REC Approved</v>
          </cell>
          <cell r="C134">
            <v>976276</v>
          </cell>
          <cell r="D134">
            <v>1457</v>
          </cell>
          <cell r="E134">
            <v>65</v>
          </cell>
          <cell r="F134" t="str">
            <v>SCC-S</v>
          </cell>
          <cell r="G134" t="str">
            <v>45 - Mid-Atlantic</v>
          </cell>
          <cell r="H134">
            <v>2000</v>
          </cell>
          <cell r="I134">
            <v>241660</v>
          </cell>
          <cell r="K134" t="str">
            <v>Steve Pearson</v>
          </cell>
          <cell r="L134" t="str">
            <v>Brian Huckins</v>
          </cell>
          <cell r="M134" t="str">
            <v>6/23/2006</v>
          </cell>
          <cell r="N134" t="str">
            <v>7/27/2006</v>
          </cell>
          <cell r="O134" t="str">
            <v>4/2/2007</v>
          </cell>
          <cell r="P134" t="str">
            <v>5/28/2007</v>
          </cell>
        </row>
        <row r="135">
          <cell r="A135" t="str">
            <v>Reading PA Berkshire and Bern</v>
          </cell>
          <cell r="B135" t="str">
            <v>REC Approved</v>
          </cell>
          <cell r="C135">
            <v>976289</v>
          </cell>
          <cell r="D135">
            <v>1473</v>
          </cell>
          <cell r="E135">
            <v>71</v>
          </cell>
          <cell r="F135" t="str">
            <v>SCC-S</v>
          </cell>
          <cell r="G135" t="str">
            <v>45 - Mid-Atlantic</v>
          </cell>
          <cell r="H135">
            <v>2000</v>
          </cell>
          <cell r="I135">
            <v>288784</v>
          </cell>
          <cell r="K135" t="str">
            <v>Steve Pearson</v>
          </cell>
          <cell r="L135" t="str">
            <v>Kim Trignano</v>
          </cell>
          <cell r="M135" t="str">
            <v>5/18/2006</v>
          </cell>
          <cell r="N135" t="str">
            <v>8/11/2006</v>
          </cell>
          <cell r="O135" t="str">
            <v>4/2/2007</v>
          </cell>
          <cell r="P135" t="str">
            <v>5/28/2007</v>
          </cell>
        </row>
        <row r="136">
          <cell r="A136" t="str">
            <v>Sandy, UT Quarry Bend Shopping Center</v>
          </cell>
          <cell r="B136" t="str">
            <v>REC Approved</v>
          </cell>
          <cell r="C136">
            <v>976569</v>
          </cell>
          <cell r="D136">
            <v>1640</v>
          </cell>
          <cell r="E136">
            <v>5</v>
          </cell>
          <cell r="F136" t="str">
            <v>SCC-S</v>
          </cell>
          <cell r="G136" t="str">
            <v>38 - Northwest</v>
          </cell>
          <cell r="H136">
            <v>1651</v>
          </cell>
          <cell r="I136">
            <v>223654</v>
          </cell>
          <cell r="K136" t="str">
            <v>Dave  Triplett</v>
          </cell>
          <cell r="L136" t="str">
            <v>Clair Rose</v>
          </cell>
          <cell r="M136" t="str">
            <v>8/25/2006</v>
          </cell>
          <cell r="N136" t="str">
            <v>11/17/2006</v>
          </cell>
          <cell r="O136" t="str">
            <v>4/2/2007</v>
          </cell>
          <cell r="P136" t="str">
            <v>5/28/2007</v>
          </cell>
        </row>
        <row r="137">
          <cell r="A137" t="str">
            <v>Puyallup WA SR 161</v>
          </cell>
          <cell r="B137" t="str">
            <v>REC Approved</v>
          </cell>
          <cell r="C137">
            <v>976229</v>
          </cell>
          <cell r="D137">
            <v>1439</v>
          </cell>
          <cell r="E137">
            <v>16</v>
          </cell>
          <cell r="F137" t="str">
            <v>SCC-S</v>
          </cell>
          <cell r="G137" t="str">
            <v>38 - Northwest</v>
          </cell>
          <cell r="H137">
            <v>1980</v>
          </cell>
          <cell r="I137">
            <v>262914</v>
          </cell>
          <cell r="K137" t="str">
            <v>Dave  Triplett</v>
          </cell>
          <cell r="L137" t="str">
            <v>Clair Rose</v>
          </cell>
          <cell r="M137" t="str">
            <v>4/6/2006</v>
          </cell>
          <cell r="N137" t="str">
            <v>6/15/2006</v>
          </cell>
          <cell r="O137" t="str">
            <v>4/9/2007</v>
          </cell>
          <cell r="P137" t="str">
            <v>6/4/2007</v>
          </cell>
        </row>
        <row r="138">
          <cell r="A138" t="str">
            <v>Doylestown PA 278 S  Main Street</v>
          </cell>
          <cell r="B138" t="str">
            <v>REC Approved</v>
          </cell>
          <cell r="C138">
            <v>976341</v>
          </cell>
          <cell r="D138">
            <v>1496</v>
          </cell>
          <cell r="E138">
            <v>71</v>
          </cell>
          <cell r="F138" t="str">
            <v>SCC-S</v>
          </cell>
          <cell r="G138" t="str">
            <v>45 - Mid-Atlantic</v>
          </cell>
          <cell r="H138">
            <v>2000</v>
          </cell>
          <cell r="I138">
            <v>276190</v>
          </cell>
          <cell r="K138" t="str">
            <v>Steve Pearson</v>
          </cell>
          <cell r="L138" t="str">
            <v>Kim Trignano</v>
          </cell>
          <cell r="M138" t="str">
            <v>6/30/2006</v>
          </cell>
          <cell r="N138" t="str">
            <v>9/8/2006</v>
          </cell>
          <cell r="O138" t="str">
            <v>4/9/2007</v>
          </cell>
          <cell r="P138" t="str">
            <v>6/4/2007</v>
          </cell>
        </row>
        <row r="139">
          <cell r="A139" t="str">
            <v>Riverside CA  Canyon Springs Parkway &amp; Corporate Centre Place</v>
          </cell>
          <cell r="B139" t="str">
            <v>REC Approved</v>
          </cell>
          <cell r="C139">
            <v>976473</v>
          </cell>
          <cell r="D139">
            <v>1633</v>
          </cell>
          <cell r="E139">
            <v>23</v>
          </cell>
          <cell r="F139" t="str">
            <v>SCC-S</v>
          </cell>
          <cell r="G139" t="str">
            <v>39 - SoCal</v>
          </cell>
          <cell r="H139">
            <v>2000</v>
          </cell>
          <cell r="I139">
            <v>261412</v>
          </cell>
          <cell r="K139" t="str">
            <v>Dave  Triplett</v>
          </cell>
          <cell r="L139" t="str">
            <v>Dennis McKee</v>
          </cell>
          <cell r="M139" t="str">
            <v>8/18/2006</v>
          </cell>
          <cell r="N139" t="str">
            <v>10/27/2006</v>
          </cell>
          <cell r="O139" t="str">
            <v>4/23/2007</v>
          </cell>
          <cell r="P139" t="str">
            <v>6/11/2007</v>
          </cell>
        </row>
        <row r="140">
          <cell r="A140" t="str">
            <v>Ft Worth TX I-35W at Western Center Blvd</v>
          </cell>
          <cell r="B140" t="str">
            <v>REC Approved</v>
          </cell>
          <cell r="C140">
            <v>976572</v>
          </cell>
          <cell r="D140">
            <v>1643</v>
          </cell>
          <cell r="E140">
            <v>31</v>
          </cell>
          <cell r="F140" t="str">
            <v>SCC-S</v>
          </cell>
          <cell r="G140" t="str">
            <v>41 - South Central</v>
          </cell>
          <cell r="H140">
            <v>1800</v>
          </cell>
          <cell r="I140">
            <v>251924</v>
          </cell>
          <cell r="K140" t="str">
            <v>Henry  Alva</v>
          </cell>
          <cell r="L140" t="str">
            <v>Lisa Loreto</v>
          </cell>
          <cell r="M140" t="str">
            <v>8/25/2006</v>
          </cell>
          <cell r="N140" t="str">
            <v>11/3/2006</v>
          </cell>
          <cell r="O140" t="str">
            <v>4/16/2007</v>
          </cell>
          <cell r="P140" t="str">
            <v>6/11/2007</v>
          </cell>
        </row>
        <row r="141">
          <cell r="A141" t="str">
            <v>El Monte CA Rosemead and Telstar</v>
          </cell>
          <cell r="B141" t="str">
            <v>REC Approved</v>
          </cell>
          <cell r="C141">
            <v>976394</v>
          </cell>
          <cell r="D141">
            <v>1528</v>
          </cell>
          <cell r="E141">
            <v>22</v>
          </cell>
          <cell r="F141" t="str">
            <v>SCC-S</v>
          </cell>
          <cell r="G141" t="str">
            <v>39 - SoCal</v>
          </cell>
          <cell r="H141">
            <v>2000</v>
          </cell>
          <cell r="I141">
            <v>269896</v>
          </cell>
          <cell r="K141" t="str">
            <v>Dave  Triplett</v>
          </cell>
          <cell r="L141" t="str">
            <v>Dennis McKee</v>
          </cell>
          <cell r="M141" t="str">
            <v>7/14/2006</v>
          </cell>
          <cell r="N141" t="str">
            <v>9/22/2006</v>
          </cell>
          <cell r="O141" t="str">
            <v>4/23/2007</v>
          </cell>
          <cell r="P141" t="str">
            <v>6/18/2007</v>
          </cell>
        </row>
        <row r="142">
          <cell r="A142" t="str">
            <v>Morgan Hill, CA  W Edmunson and Monterey Hwy</v>
          </cell>
          <cell r="B142" t="str">
            <v>REC Approved</v>
          </cell>
          <cell r="C142">
            <v>976571</v>
          </cell>
          <cell r="D142">
            <v>1637</v>
          </cell>
          <cell r="E142">
            <v>14</v>
          </cell>
          <cell r="F142" t="str">
            <v>SCC-S</v>
          </cell>
          <cell r="G142" t="str">
            <v>40 - Bay Area</v>
          </cell>
          <cell r="H142">
            <v>1850</v>
          </cell>
          <cell r="I142">
            <v>269737</v>
          </cell>
          <cell r="K142" t="str">
            <v>Dave  Triplett</v>
          </cell>
          <cell r="L142" t="str">
            <v>Clair Rose</v>
          </cell>
          <cell r="M142" t="str">
            <v>8/25/2006</v>
          </cell>
          <cell r="N142" t="str">
            <v>11/17/2006</v>
          </cell>
          <cell r="O142" t="str">
            <v>4/23/2007</v>
          </cell>
          <cell r="P142" t="str">
            <v>6/18/2007</v>
          </cell>
        </row>
        <row r="143">
          <cell r="A143" t="str">
            <v>Raynham, MA - 44th and South Street W</v>
          </cell>
          <cell r="B143" t="str">
            <v>REC Approved</v>
          </cell>
          <cell r="C143">
            <v>976505</v>
          </cell>
          <cell r="D143">
            <v>1653</v>
          </cell>
          <cell r="E143">
            <v>76</v>
          </cell>
          <cell r="F143" t="str">
            <v>SCC-S</v>
          </cell>
          <cell r="G143" t="str">
            <v>54 - Northeast</v>
          </cell>
          <cell r="H143">
            <v>1800</v>
          </cell>
          <cell r="I143">
            <v>262795</v>
          </cell>
          <cell r="K143" t="str">
            <v>Steve Pearson</v>
          </cell>
          <cell r="L143" t="str">
            <v>Jim Corsano</v>
          </cell>
          <cell r="M143" t="str">
            <v>9/1/2006</v>
          </cell>
          <cell r="N143" t="str">
            <v>10/27/2006</v>
          </cell>
          <cell r="O143" t="str">
            <v>5/7/2007</v>
          </cell>
          <cell r="P143" t="str">
            <v>7/2/2007</v>
          </cell>
        </row>
        <row r="144">
          <cell r="A144" t="str">
            <v>Germantown TN Poplar Ave</v>
          </cell>
          <cell r="B144" t="str">
            <v>REC Approved</v>
          </cell>
          <cell r="C144">
            <v>976494</v>
          </cell>
          <cell r="D144">
            <v>1641</v>
          </cell>
          <cell r="E144">
            <v>40</v>
          </cell>
          <cell r="F144" t="str">
            <v>SCC-S</v>
          </cell>
          <cell r="G144" t="str">
            <v>35 - Heartland</v>
          </cell>
          <cell r="H144">
            <v>1750</v>
          </cell>
          <cell r="I144">
            <v>244594</v>
          </cell>
          <cell r="K144" t="str">
            <v>Stephen Ortega</v>
          </cell>
          <cell r="L144" t="str">
            <v>Chris Varney</v>
          </cell>
          <cell r="M144" t="str">
            <v>8/25/2006</v>
          </cell>
          <cell r="N144" t="str">
            <v>11/10/2006</v>
          </cell>
          <cell r="O144" t="str">
            <v>5/14/2007</v>
          </cell>
          <cell r="P144" t="str">
            <v>7/16/2007</v>
          </cell>
        </row>
        <row r="145">
          <cell r="A145" t="str">
            <v>Deerfield FL Hillsboro Blvd</v>
          </cell>
          <cell r="B145" t="str">
            <v>REC Approved</v>
          </cell>
          <cell r="C145">
            <v>976376</v>
          </cell>
          <cell r="D145">
            <v>1537</v>
          </cell>
          <cell r="E145">
            <v>92</v>
          </cell>
          <cell r="F145" t="str">
            <v>SCC-S</v>
          </cell>
          <cell r="G145" t="str">
            <v>47 - Southeast</v>
          </cell>
          <cell r="H145">
            <v>1650</v>
          </cell>
          <cell r="I145">
            <v>228132</v>
          </cell>
          <cell r="K145" t="str">
            <v>Stephen Ortega</v>
          </cell>
          <cell r="L145" t="str">
            <v>Chris Varney</v>
          </cell>
          <cell r="M145" t="str">
            <v>7/14/2006</v>
          </cell>
          <cell r="N145" t="str">
            <v>9/23/2006</v>
          </cell>
          <cell r="O145" t="str">
            <v>6/18/2007</v>
          </cell>
          <cell r="P145" t="str">
            <v>8/13/2007</v>
          </cell>
        </row>
        <row r="146">
          <cell r="A146" t="str">
            <v>Hayward CA Mission and A</v>
          </cell>
          <cell r="B146" t="str">
            <v>REC Approved</v>
          </cell>
          <cell r="C146">
            <v>976420</v>
          </cell>
          <cell r="D146">
            <v>1593</v>
          </cell>
          <cell r="E146">
            <v>10</v>
          </cell>
          <cell r="F146" t="str">
            <v>SCC-S</v>
          </cell>
          <cell r="G146" t="str">
            <v>40 - Bay Area</v>
          </cell>
          <cell r="H146">
            <v>1860</v>
          </cell>
          <cell r="I146">
            <v>262495</v>
          </cell>
          <cell r="K146" t="str">
            <v>Dave  Triplett</v>
          </cell>
          <cell r="L146" t="str">
            <v>Clair Rose</v>
          </cell>
          <cell r="M146" t="str">
            <v>7/28/2006</v>
          </cell>
          <cell r="N146" t="str">
            <v>1/30/2007</v>
          </cell>
          <cell r="O146" t="str">
            <v>9/7/2007</v>
          </cell>
          <cell r="P146" t="str">
            <v>11/2/2007</v>
          </cell>
        </row>
        <row r="147">
          <cell r="A147" t="str">
            <v>Huntersville NC Sam Furr and Birkdale</v>
          </cell>
          <cell r="B147" t="str">
            <v>REC Approved</v>
          </cell>
          <cell r="C147">
            <v>976308</v>
          </cell>
          <cell r="D147">
            <v>1489</v>
          </cell>
          <cell r="E147">
            <v>60</v>
          </cell>
          <cell r="F147" t="str">
            <v>SCC-S</v>
          </cell>
          <cell r="G147" t="str">
            <v>45 - Mid-Atlantic</v>
          </cell>
          <cell r="H147">
            <v>1800</v>
          </cell>
          <cell r="I147">
            <v>282076</v>
          </cell>
          <cell r="K147" t="str">
            <v>Stephen Ortega</v>
          </cell>
          <cell r="L147" t="str">
            <v>Lisa Dews</v>
          </cell>
          <cell r="M147" t="str">
            <v>6/23/2006</v>
          </cell>
          <cell r="N147" t="str">
            <v>8/25/2006</v>
          </cell>
          <cell r="O147" t="str">
            <v>9/24/2007</v>
          </cell>
          <cell r="P147" t="str">
            <v>11/12/2007</v>
          </cell>
        </row>
        <row r="148">
          <cell r="A148" t="str">
            <v>Gilroy, CA  Leavesley Rd &amp; Arroyo Circle</v>
          </cell>
          <cell r="B148" t="str">
            <v>REC Approved</v>
          </cell>
          <cell r="C148">
            <v>976422</v>
          </cell>
          <cell r="D148">
            <v>1589</v>
          </cell>
          <cell r="E148">
            <v>14</v>
          </cell>
          <cell r="F148" t="str">
            <v>SCC-S</v>
          </cell>
          <cell r="G148" t="str">
            <v>40 - Bay Area</v>
          </cell>
          <cell r="H148">
            <v>1800</v>
          </cell>
          <cell r="I148">
            <v>260966</v>
          </cell>
          <cell r="K148" t="str">
            <v>Dave  Triplett</v>
          </cell>
          <cell r="L148" t="str">
            <v>Dennis McKee</v>
          </cell>
          <cell r="M148" t="str">
            <v>7/28/2006</v>
          </cell>
          <cell r="N148" t="str">
            <v>10/6/2006</v>
          </cell>
          <cell r="O148" t="str">
            <v>1/21/2008</v>
          </cell>
          <cell r="P148" t="str">
            <v>3/24/2008</v>
          </cell>
        </row>
        <row r="149">
          <cell r="A149" t="str">
            <v>Pinellas Park FL Parkside Mall Crossings</v>
          </cell>
          <cell r="B149" t="str">
            <v>Under Construction</v>
          </cell>
          <cell r="C149">
            <v>976263</v>
          </cell>
          <cell r="D149">
            <v>1464</v>
          </cell>
          <cell r="E149">
            <v>57</v>
          </cell>
          <cell r="F149" t="str">
            <v>SCC-S</v>
          </cell>
          <cell r="G149" t="str">
            <v>47 - Southeast</v>
          </cell>
          <cell r="H149">
            <v>1998</v>
          </cell>
          <cell r="I149">
            <v>238132</v>
          </cell>
          <cell r="K149" t="str">
            <v>Stephen Ortega</v>
          </cell>
          <cell r="L149" t="str">
            <v>Carrie Shirley</v>
          </cell>
          <cell r="M149" t="str">
            <v>5/4/2006</v>
          </cell>
          <cell r="N149" t="str">
            <v>6/16/2006</v>
          </cell>
          <cell r="O149" t="str">
            <v>7/31/2006</v>
          </cell>
          <cell r="P149" t="str">
            <v>9/18/2006</v>
          </cell>
        </row>
        <row r="150">
          <cell r="A150" t="str">
            <v>Richmond, VA West Broad Street</v>
          </cell>
          <cell r="B150" t="str">
            <v>Under Construction</v>
          </cell>
          <cell r="C150">
            <v>976280</v>
          </cell>
          <cell r="D150">
            <v>1468</v>
          </cell>
          <cell r="E150">
            <v>62</v>
          </cell>
          <cell r="F150" t="str">
            <v>SCC-S</v>
          </cell>
          <cell r="G150" t="str">
            <v>45 - Mid-Atlantic</v>
          </cell>
          <cell r="H150">
            <v>2000</v>
          </cell>
          <cell r="I150">
            <v>227167</v>
          </cell>
          <cell r="K150" t="str">
            <v>Stephen Ortega</v>
          </cell>
          <cell r="L150" t="str">
            <v>Brian Huckins</v>
          </cell>
          <cell r="M150" t="str">
            <v>5/18/2006</v>
          </cell>
          <cell r="N150" t="str">
            <v>6/30/2006</v>
          </cell>
          <cell r="O150" t="str">
            <v>8/3/2006</v>
          </cell>
          <cell r="P150" t="str">
            <v>9/18/2006</v>
          </cell>
        </row>
        <row r="151">
          <cell r="A151" t="str">
            <v>Chicago IL W 95th St</v>
          </cell>
          <cell r="B151" t="str">
            <v>Under Construction</v>
          </cell>
          <cell r="C151">
            <v>976204</v>
          </cell>
          <cell r="D151">
            <v>1434</v>
          </cell>
          <cell r="E151">
            <v>49</v>
          </cell>
          <cell r="F151" t="str">
            <v>SCC-S</v>
          </cell>
          <cell r="G151" t="str">
            <v>49 - Midwest</v>
          </cell>
          <cell r="H151">
            <v>1650</v>
          </cell>
          <cell r="I151">
            <v>256463</v>
          </cell>
          <cell r="J151">
            <v>229979.12</v>
          </cell>
          <cell r="K151" t="str">
            <v>Henry  Alva</v>
          </cell>
          <cell r="L151" t="str">
            <v>Jim Corsano</v>
          </cell>
          <cell r="M151" t="str">
            <v>3/23/2006</v>
          </cell>
          <cell r="N151" t="str">
            <v>5/11/2006</v>
          </cell>
          <cell r="O151" t="str">
            <v>8/7/2006</v>
          </cell>
          <cell r="P151" t="str">
            <v>9/25/2006</v>
          </cell>
        </row>
        <row r="152">
          <cell r="A152" t="str">
            <v>Philadelphia PA University(Relo)</v>
          </cell>
          <cell r="B152" t="str">
            <v>Under Construction</v>
          </cell>
          <cell r="C152">
            <v>976434</v>
          </cell>
          <cell r="D152">
            <v>1210</v>
          </cell>
          <cell r="E152">
            <v>72</v>
          </cell>
          <cell r="F152" t="str">
            <v>SCC-S</v>
          </cell>
          <cell r="G152" t="str">
            <v>45 - Mid-Atlantic</v>
          </cell>
          <cell r="H152">
            <v>1675</v>
          </cell>
          <cell r="I152">
            <v>235543</v>
          </cell>
          <cell r="K152" t="str">
            <v>Steve Pearson</v>
          </cell>
          <cell r="L152" t="str">
            <v>Steve Pearson</v>
          </cell>
          <cell r="M152" t="str">
            <v>8/25/2006</v>
          </cell>
          <cell r="N152" t="str">
            <v>8/30/2006</v>
          </cell>
          <cell r="O152" t="str">
            <v>8/29/2006</v>
          </cell>
          <cell r="P152" t="str">
            <v>9/25/2006</v>
          </cell>
        </row>
        <row r="153">
          <cell r="A153" t="str">
            <v>Elizabethtown, KY Pear Orchard Rd. and Dixie Hwy</v>
          </cell>
          <cell r="B153" t="str">
            <v>Under Construction</v>
          </cell>
          <cell r="C153">
            <v>976262</v>
          </cell>
          <cell r="D153">
            <v>1456</v>
          </cell>
          <cell r="E153">
            <v>69</v>
          </cell>
          <cell r="F153" t="str">
            <v>SCC-RSA</v>
          </cell>
          <cell r="G153" t="str">
            <v>54 - Northeast</v>
          </cell>
          <cell r="H153">
            <v>1995</v>
          </cell>
          <cell r="I153">
            <v>259717</v>
          </cell>
          <cell r="K153" t="str">
            <v>Stephen Ortega</v>
          </cell>
          <cell r="L153" t="str">
            <v>Kim Trignano</v>
          </cell>
          <cell r="M153" t="str">
            <v>5/18/2006</v>
          </cell>
          <cell r="N153" t="str">
            <v>7/6/2006</v>
          </cell>
          <cell r="O153" t="str">
            <v>8/14/2006</v>
          </cell>
          <cell r="P153" t="str">
            <v>10/2/2006</v>
          </cell>
        </row>
        <row r="154">
          <cell r="A154" t="str">
            <v>Cincinnati, OH Montgomery Rd.</v>
          </cell>
          <cell r="B154" t="str">
            <v>Under Construction</v>
          </cell>
          <cell r="C154">
            <v>976272</v>
          </cell>
          <cell r="D154">
            <v>1461</v>
          </cell>
          <cell r="E154">
            <v>69</v>
          </cell>
          <cell r="F154" t="str">
            <v>SCC-S</v>
          </cell>
          <cell r="G154" t="str">
            <v>54 - Northeast</v>
          </cell>
          <cell r="H154">
            <v>2000</v>
          </cell>
          <cell r="I154">
            <v>242852</v>
          </cell>
          <cell r="J154">
            <v>219970</v>
          </cell>
          <cell r="K154" t="str">
            <v>Steve Pearson</v>
          </cell>
          <cell r="L154" t="str">
            <v>Clair Rose</v>
          </cell>
          <cell r="M154" t="str">
            <v>5/4/2006</v>
          </cell>
          <cell r="N154" t="str">
            <v>6/16/2006</v>
          </cell>
          <cell r="O154" t="str">
            <v>8/14/2006</v>
          </cell>
          <cell r="P154" t="str">
            <v>10/2/2006</v>
          </cell>
        </row>
        <row r="155">
          <cell r="A155" t="str">
            <v>Onalaska WI SR 16</v>
          </cell>
          <cell r="B155" t="str">
            <v>Under Construction</v>
          </cell>
          <cell r="C155">
            <v>976231</v>
          </cell>
          <cell r="D155">
            <v>1440</v>
          </cell>
          <cell r="E155">
            <v>42</v>
          </cell>
          <cell r="F155" t="str">
            <v>SCC-RSA</v>
          </cell>
          <cell r="G155" t="str">
            <v>49 - Midwest</v>
          </cell>
          <cell r="H155">
            <v>1800</v>
          </cell>
          <cell r="I155">
            <v>291143</v>
          </cell>
          <cell r="J155">
            <v>262193.05</v>
          </cell>
          <cell r="K155" t="str">
            <v>Henry  Alva</v>
          </cell>
          <cell r="L155" t="str">
            <v>Brian Huckins</v>
          </cell>
          <cell r="M155" t="str">
            <v>3/23/2006</v>
          </cell>
          <cell r="N155" t="str">
            <v>6/13/2006</v>
          </cell>
          <cell r="O155" t="str">
            <v>8/21/2006</v>
          </cell>
          <cell r="P155" t="str">
            <v>10/9/2006</v>
          </cell>
        </row>
        <row r="156">
          <cell r="A156" t="str">
            <v>McHenry IL 2304 N. Richmond Road</v>
          </cell>
          <cell r="B156" t="str">
            <v>Under Construction</v>
          </cell>
          <cell r="C156">
            <v>976287</v>
          </cell>
          <cell r="D156">
            <v>1463</v>
          </cell>
          <cell r="E156">
            <v>87</v>
          </cell>
          <cell r="F156" t="str">
            <v>SCC-S</v>
          </cell>
          <cell r="G156" t="str">
            <v>49 - Midwest</v>
          </cell>
          <cell r="H156">
            <v>2000</v>
          </cell>
          <cell r="I156">
            <v>265842</v>
          </cell>
          <cell r="J156">
            <v>253489.45</v>
          </cell>
          <cell r="K156" t="str">
            <v>Henry  Alva</v>
          </cell>
          <cell r="L156" t="str">
            <v>Kati Lawson</v>
          </cell>
          <cell r="M156" t="str">
            <v>5/18/2006</v>
          </cell>
          <cell r="N156" t="str">
            <v>7/5/2006</v>
          </cell>
          <cell r="O156" t="str">
            <v>8/21/2006</v>
          </cell>
          <cell r="P156" t="str">
            <v>10/9/2006</v>
          </cell>
        </row>
        <row r="157">
          <cell r="A157" t="str">
            <v>Fayetteville NC 5091 Morganton Rd</v>
          </cell>
          <cell r="B157" t="str">
            <v>Under Construction</v>
          </cell>
          <cell r="C157">
            <v>976327</v>
          </cell>
          <cell r="D157">
            <v>1487</v>
          </cell>
          <cell r="E157">
            <v>61</v>
          </cell>
          <cell r="F157" t="str">
            <v>SCC-RSA</v>
          </cell>
          <cell r="G157" t="str">
            <v>45 - Mid-Atlantic</v>
          </cell>
          <cell r="H157">
            <v>2000</v>
          </cell>
          <cell r="I157">
            <v>259076</v>
          </cell>
          <cell r="J157">
            <v>235583.49</v>
          </cell>
          <cell r="K157" t="str">
            <v>Stephen Ortega</v>
          </cell>
          <cell r="L157" t="str">
            <v>Brian Huckins</v>
          </cell>
          <cell r="M157" t="str">
            <v>6/16/2006</v>
          </cell>
          <cell r="N157" t="str">
            <v>8/17/2006</v>
          </cell>
          <cell r="O157" t="str">
            <v>8/21/2006</v>
          </cell>
          <cell r="P157" t="str">
            <v>10/9/2006</v>
          </cell>
        </row>
        <row r="158">
          <cell r="A158" t="str">
            <v>Avondale AZ - 99th and McDowell</v>
          </cell>
          <cell r="B158" t="str">
            <v>Under Construction</v>
          </cell>
          <cell r="C158">
            <v>976192</v>
          </cell>
          <cell r="D158">
            <v>1427</v>
          </cell>
          <cell r="E158">
            <v>26</v>
          </cell>
          <cell r="F158" t="str">
            <v>SCC-S</v>
          </cell>
          <cell r="G158" t="str">
            <v>35 - Heartland</v>
          </cell>
          <cell r="H158">
            <v>1900</v>
          </cell>
          <cell r="I158">
            <v>253071</v>
          </cell>
          <cell r="J158">
            <v>241795.45</v>
          </cell>
          <cell r="K158" t="str">
            <v>Dave  Triplett</v>
          </cell>
          <cell r="L158" t="str">
            <v>Dennis McKee</v>
          </cell>
          <cell r="M158" t="str">
            <v>3/9/2006</v>
          </cell>
          <cell r="N158" t="str">
            <v>7/17/2006</v>
          </cell>
          <cell r="O158" t="str">
            <v>8/21/2006</v>
          </cell>
          <cell r="P158" t="str">
            <v>10/16/2006</v>
          </cell>
        </row>
        <row r="159">
          <cell r="A159" t="str">
            <v>Wilkes Barre PA Highland Park</v>
          </cell>
          <cell r="B159" t="str">
            <v>Under Construction</v>
          </cell>
          <cell r="C159">
            <v>976095</v>
          </cell>
          <cell r="D159">
            <v>1387</v>
          </cell>
          <cell r="E159">
            <v>71</v>
          </cell>
          <cell r="F159" t="str">
            <v>LCC</v>
          </cell>
          <cell r="G159" t="str">
            <v>45 - Mid-Atlantic</v>
          </cell>
          <cell r="H159">
            <v>2583</v>
          </cell>
          <cell r="I159">
            <v>284951</v>
          </cell>
          <cell r="J159">
            <v>278048</v>
          </cell>
          <cell r="K159" t="str">
            <v>Steve Pearson</v>
          </cell>
          <cell r="L159" t="str">
            <v>Jim Corsano</v>
          </cell>
          <cell r="M159" t="str">
            <v>1/20/2006</v>
          </cell>
          <cell r="N159" t="str">
            <v>6/12/2006</v>
          </cell>
          <cell r="O159" t="str">
            <v>8/28/2006</v>
          </cell>
          <cell r="P159" t="str">
            <v>10/16/2006</v>
          </cell>
        </row>
        <row r="160">
          <cell r="A160" t="str">
            <v>Durham NC Mt Moriah &amp; Chapel Hill</v>
          </cell>
          <cell r="B160" t="str">
            <v>Under Construction</v>
          </cell>
          <cell r="C160">
            <v>976309</v>
          </cell>
          <cell r="D160">
            <v>1488</v>
          </cell>
          <cell r="E160">
            <v>61</v>
          </cell>
          <cell r="F160" t="str">
            <v>SCC-S</v>
          </cell>
          <cell r="G160" t="str">
            <v>45 - Mid-Atlantic</v>
          </cell>
          <cell r="H160">
            <v>2000</v>
          </cell>
          <cell r="I160">
            <v>267818</v>
          </cell>
          <cell r="K160" t="str">
            <v>Stephen Ortega</v>
          </cell>
          <cell r="L160" t="str">
            <v>Kim Trignano</v>
          </cell>
          <cell r="M160" t="str">
            <v>6/16/2006</v>
          </cell>
          <cell r="N160" t="str">
            <v>8/2/2006</v>
          </cell>
          <cell r="O160" t="str">
            <v>8/28/2006</v>
          </cell>
          <cell r="P160" t="str">
            <v>10/16/2006</v>
          </cell>
        </row>
        <row r="161">
          <cell r="A161" t="str">
            <v>Memphis TN Winchester Rd/Centennial Rd</v>
          </cell>
          <cell r="B161" t="str">
            <v>Under Construction</v>
          </cell>
          <cell r="C161">
            <v>974888</v>
          </cell>
          <cell r="D161">
            <v>1390</v>
          </cell>
          <cell r="E161">
            <v>40</v>
          </cell>
          <cell r="F161" t="str">
            <v>SUV</v>
          </cell>
          <cell r="G161" t="str">
            <v>35 - Heartland</v>
          </cell>
          <cell r="H161">
            <v>4640</v>
          </cell>
          <cell r="I161">
            <v>481689</v>
          </cell>
          <cell r="K161" t="str">
            <v>Stephen Ortega</v>
          </cell>
          <cell r="L161" t="str">
            <v>Chris Varney</v>
          </cell>
          <cell r="M161" t="str">
            <v>1/10/2006</v>
          </cell>
          <cell r="N161" t="str">
            <v>4/25/2006</v>
          </cell>
          <cell r="O161" t="str">
            <v>8/28/2006</v>
          </cell>
          <cell r="P161" t="str">
            <v>10/23/2006</v>
          </cell>
        </row>
        <row r="162">
          <cell r="A162" t="str">
            <v>Pinole CA Fitzgerald and Appian Way</v>
          </cell>
          <cell r="B162" t="str">
            <v>Under Construction</v>
          </cell>
          <cell r="C162">
            <v>976286</v>
          </cell>
          <cell r="D162">
            <v>1475</v>
          </cell>
          <cell r="E162">
            <v>9</v>
          </cell>
          <cell r="F162" t="str">
            <v>SCC-S</v>
          </cell>
          <cell r="G162" t="str">
            <v>40 - Bay Area</v>
          </cell>
          <cell r="H162">
            <v>2000</v>
          </cell>
          <cell r="I162">
            <v>266247</v>
          </cell>
          <cell r="J162">
            <v>268776</v>
          </cell>
          <cell r="K162" t="str">
            <v>Dave  Triplett</v>
          </cell>
          <cell r="L162" t="str">
            <v>Clair Rose</v>
          </cell>
          <cell r="M162" t="str">
            <v>5/18/2006</v>
          </cell>
          <cell r="N162" t="str">
            <v>8/25/2006</v>
          </cell>
          <cell r="O162" t="str">
            <v>9/5/2006</v>
          </cell>
          <cell r="P162" t="str">
            <v>10/23/2006</v>
          </cell>
        </row>
        <row r="163">
          <cell r="A163" t="str">
            <v>Fond du Lac WI Pioneer Road</v>
          </cell>
          <cell r="B163" t="str">
            <v>Under Construction</v>
          </cell>
          <cell r="C163">
            <v>976277</v>
          </cell>
          <cell r="D163">
            <v>1474</v>
          </cell>
          <cell r="E163">
            <v>53</v>
          </cell>
          <cell r="F163" t="str">
            <v>SCC-S</v>
          </cell>
          <cell r="G163" t="str">
            <v>49 - Midwest</v>
          </cell>
          <cell r="H163">
            <v>1930</v>
          </cell>
          <cell r="I163">
            <v>263815</v>
          </cell>
          <cell r="K163" t="str">
            <v>Henry  Alva</v>
          </cell>
          <cell r="L163" t="str">
            <v>Kati Lawson</v>
          </cell>
          <cell r="M163" t="str">
            <v>5/18/2006</v>
          </cell>
          <cell r="N163" t="str">
            <v>7/25/2006</v>
          </cell>
          <cell r="O163" t="str">
            <v>9/11/2006</v>
          </cell>
          <cell r="P163" t="str">
            <v>10/23/2006</v>
          </cell>
        </row>
        <row r="164">
          <cell r="A164" t="str">
            <v>Detroit MI The Ellington</v>
          </cell>
          <cell r="B164" t="str">
            <v>Under Construction</v>
          </cell>
          <cell r="C164">
            <v>975975</v>
          </cell>
          <cell r="D164">
            <v>422</v>
          </cell>
          <cell r="E164">
            <v>51</v>
          </cell>
          <cell r="F164" t="str">
            <v>Stand Alone</v>
          </cell>
          <cell r="G164" t="str">
            <v>49 - Midwest</v>
          </cell>
          <cell r="H164">
            <v>3796</v>
          </cell>
          <cell r="I164">
            <v>378051</v>
          </cell>
          <cell r="J164">
            <v>368581.41</v>
          </cell>
          <cell r="K164" t="str">
            <v>Henry  Alva</v>
          </cell>
          <cell r="L164" t="str">
            <v>Kim Trignano</v>
          </cell>
          <cell r="M164" t="str">
            <v>7/26/2005</v>
          </cell>
          <cell r="N164" t="str">
            <v>6/27/2006</v>
          </cell>
          <cell r="O164" t="str">
            <v>8/28/2006</v>
          </cell>
          <cell r="P164" t="str">
            <v>10/23/2006</v>
          </cell>
        </row>
        <row r="165">
          <cell r="A165" t="str">
            <v>North Plainfield, IL</v>
          </cell>
          <cell r="B165" t="str">
            <v>Under Construction</v>
          </cell>
          <cell r="C165">
            <v>976298</v>
          </cell>
          <cell r="D165">
            <v>1476</v>
          </cell>
          <cell r="E165">
            <v>87</v>
          </cell>
          <cell r="F165" t="str">
            <v>SCC-S</v>
          </cell>
          <cell r="G165" t="str">
            <v>49 - Midwest</v>
          </cell>
          <cell r="H165">
            <v>1954</v>
          </cell>
          <cell r="I165">
            <v>242893</v>
          </cell>
          <cell r="K165" t="str">
            <v>Henry  Alva</v>
          </cell>
          <cell r="L165" t="str">
            <v>Jim Corsano</v>
          </cell>
          <cell r="M165" t="str">
            <v>5/18/2006</v>
          </cell>
          <cell r="N165" t="str">
            <v>7/31/2006</v>
          </cell>
          <cell r="O165" t="str">
            <v>9/5/2006</v>
          </cell>
          <cell r="P165" t="str">
            <v>10/23/2006</v>
          </cell>
        </row>
        <row r="166">
          <cell r="A166" t="str">
            <v>Batavia IL 330 N Randall Road</v>
          </cell>
          <cell r="B166" t="str">
            <v>Under Construction</v>
          </cell>
          <cell r="C166">
            <v>976331</v>
          </cell>
          <cell r="D166">
            <v>1484</v>
          </cell>
          <cell r="E166">
            <v>87</v>
          </cell>
          <cell r="F166" t="str">
            <v>SCC-S</v>
          </cell>
          <cell r="G166" t="str">
            <v>49 - Midwest</v>
          </cell>
          <cell r="H166">
            <v>2000</v>
          </cell>
          <cell r="I166">
            <v>268843</v>
          </cell>
          <cell r="K166" t="str">
            <v>Henry  Alva</v>
          </cell>
          <cell r="L166" t="str">
            <v>Jim Corsano</v>
          </cell>
          <cell r="M166" t="str">
            <v>6/16/2006</v>
          </cell>
          <cell r="N166" t="str">
            <v>7/26/2006</v>
          </cell>
          <cell r="O166" t="str">
            <v>9/5/2006</v>
          </cell>
          <cell r="P166" t="str">
            <v>10/23/2006</v>
          </cell>
        </row>
        <row r="167">
          <cell r="A167" t="str">
            <v>Alpharetta GA Arnold Mill at Crabapple Rd</v>
          </cell>
          <cell r="B167" t="str">
            <v>Under Construction</v>
          </cell>
          <cell r="C167">
            <v>976381</v>
          </cell>
          <cell r="D167">
            <v>1619</v>
          </cell>
          <cell r="E167">
            <v>59</v>
          </cell>
          <cell r="F167" t="str">
            <v>SCC-S</v>
          </cell>
          <cell r="G167" t="str">
            <v>47 - Southeast</v>
          </cell>
          <cell r="H167">
            <v>1650</v>
          </cell>
          <cell r="I167">
            <v>227580</v>
          </cell>
          <cell r="J167">
            <v>207577.24</v>
          </cell>
          <cell r="K167" t="str">
            <v>Stephen Ortega</v>
          </cell>
          <cell r="L167" t="str">
            <v>Chris Varney</v>
          </cell>
          <cell r="M167" t="str">
            <v>7/7/2006</v>
          </cell>
          <cell r="N167" t="str">
            <v>8/28/2006</v>
          </cell>
          <cell r="O167" t="str">
            <v>9/4/2006</v>
          </cell>
          <cell r="P167" t="str">
            <v>10/23/2006</v>
          </cell>
        </row>
        <row r="168">
          <cell r="A168" t="str">
            <v>Bentonville AR 1406 S Walton</v>
          </cell>
          <cell r="B168" t="str">
            <v>Under Construction</v>
          </cell>
          <cell r="C168">
            <v>976417</v>
          </cell>
          <cell r="D168">
            <v>1588</v>
          </cell>
          <cell r="E168">
            <v>40</v>
          </cell>
          <cell r="F168" t="str">
            <v>SCC-S</v>
          </cell>
          <cell r="G168" t="str">
            <v>35 - Heartland</v>
          </cell>
          <cell r="H168">
            <v>1750</v>
          </cell>
          <cell r="I168">
            <v>254523</v>
          </cell>
          <cell r="K168" t="str">
            <v>Stephen Ortega</v>
          </cell>
          <cell r="L168" t="str">
            <v>Jim Corsano</v>
          </cell>
          <cell r="M168" t="str">
            <v>7/28/2006</v>
          </cell>
          <cell r="N168" t="str">
            <v>8/4/2006</v>
          </cell>
          <cell r="O168" t="str">
            <v>8/28/2006</v>
          </cell>
          <cell r="P168" t="str">
            <v>10/23/2006</v>
          </cell>
        </row>
        <row r="169">
          <cell r="A169" t="str">
            <v>Sunrise FL Sawgrass Landings</v>
          </cell>
          <cell r="B169" t="str">
            <v>Under Construction</v>
          </cell>
          <cell r="C169">
            <v>972846</v>
          </cell>
          <cell r="D169">
            <v>1121</v>
          </cell>
          <cell r="E169">
            <v>92</v>
          </cell>
          <cell r="F169" t="str">
            <v>LCC</v>
          </cell>
          <cell r="G169" t="str">
            <v>47 - Southeast</v>
          </cell>
          <cell r="H169">
            <v>3133</v>
          </cell>
          <cell r="I169">
            <v>377562</v>
          </cell>
          <cell r="K169" t="str">
            <v>Stephen Ortega</v>
          </cell>
          <cell r="L169" t="str">
            <v>Carrie Shirley</v>
          </cell>
          <cell r="M169" t="str">
            <v>3/27/2003</v>
          </cell>
          <cell r="N169" t="str">
            <v>12/11/2003</v>
          </cell>
          <cell r="O169" t="str">
            <v>7/31/2006</v>
          </cell>
          <cell r="P169" t="str">
            <v>11/6/2006</v>
          </cell>
        </row>
        <row r="170">
          <cell r="A170" t="str">
            <v>Washington DC 24th &amp; M Street</v>
          </cell>
          <cell r="B170" t="str">
            <v>Open</v>
          </cell>
          <cell r="C170">
            <v>975797</v>
          </cell>
          <cell r="D170">
            <v>1344</v>
          </cell>
          <cell r="E170">
            <v>64</v>
          </cell>
          <cell r="F170" t="str">
            <v>SCC-S</v>
          </cell>
          <cell r="G170" t="str">
            <v>45 - Mid-Atlantic</v>
          </cell>
          <cell r="H170">
            <v>1610</v>
          </cell>
          <cell r="I170">
            <v>271294</v>
          </cell>
          <cell r="J170">
            <v>272862</v>
          </cell>
          <cell r="K170" t="str">
            <v>Steve Pearson</v>
          </cell>
          <cell r="L170" t="str">
            <v>Brian Huckins</v>
          </cell>
          <cell r="M170" t="str">
            <v>3/21/2005</v>
          </cell>
          <cell r="N170" t="str">
            <v>10/12/2005</v>
          </cell>
          <cell r="O170" t="str">
            <v>4/10/2006</v>
          </cell>
          <cell r="P170" t="str">
            <v>6/5/2006</v>
          </cell>
        </row>
        <row r="171">
          <cell r="A171" t="str">
            <v>Lawrence IN Pendleton Pike</v>
          </cell>
          <cell r="B171" t="str">
            <v>Open</v>
          </cell>
          <cell r="C171">
            <v>976136</v>
          </cell>
          <cell r="D171">
            <v>1403</v>
          </cell>
          <cell r="E171">
            <v>45</v>
          </cell>
          <cell r="F171" t="str">
            <v>SCC-S</v>
          </cell>
          <cell r="G171" t="str">
            <v>49 - Midwest</v>
          </cell>
          <cell r="H171">
            <v>2040</v>
          </cell>
          <cell r="I171">
            <v>221499</v>
          </cell>
          <cell r="J171">
            <v>202904</v>
          </cell>
          <cell r="K171" t="str">
            <v>Henry  Alva</v>
          </cell>
          <cell r="M171" t="str">
            <v>2/3/2006</v>
          </cell>
          <cell r="N171" t="str">
            <v>4/25/2006</v>
          </cell>
          <cell r="O171" t="str">
            <v>4/24/2006</v>
          </cell>
          <cell r="P171" t="str">
            <v>6/12/2006</v>
          </cell>
        </row>
        <row r="172">
          <cell r="A172" t="str">
            <v>West Chester OH Union Centre</v>
          </cell>
          <cell r="B172" t="str">
            <v>Open</v>
          </cell>
          <cell r="C172">
            <v>976107</v>
          </cell>
          <cell r="D172">
            <v>1396</v>
          </cell>
          <cell r="E172">
            <v>69</v>
          </cell>
          <cell r="F172" t="str">
            <v>SCC-S</v>
          </cell>
          <cell r="G172" t="str">
            <v>54 - Northeast</v>
          </cell>
          <cell r="H172">
            <v>2000</v>
          </cell>
          <cell r="I172">
            <v>220848</v>
          </cell>
          <cell r="J172">
            <v>216511</v>
          </cell>
          <cell r="K172" t="str">
            <v>Steve Pearson</v>
          </cell>
          <cell r="L172" t="str">
            <v>Brian Huckins</v>
          </cell>
          <cell r="M172" t="str">
            <v>2/3/2006</v>
          </cell>
          <cell r="N172" t="str">
            <v>4/17/2006</v>
          </cell>
          <cell r="O172" t="str">
            <v>5/1/2006</v>
          </cell>
          <cell r="P172" t="str">
            <v>6/19/2006</v>
          </cell>
        </row>
        <row r="173">
          <cell r="A173" t="str">
            <v>Buckhead GA Lindbergh Plaza</v>
          </cell>
          <cell r="B173" t="str">
            <v>Open</v>
          </cell>
          <cell r="C173">
            <v>975996</v>
          </cell>
          <cell r="D173">
            <v>1372</v>
          </cell>
          <cell r="E173">
            <v>90</v>
          </cell>
          <cell r="F173" t="str">
            <v>SCC-S</v>
          </cell>
          <cell r="G173" t="str">
            <v>47 - Southeast</v>
          </cell>
          <cell r="H173">
            <v>2001</v>
          </cell>
          <cell r="I173">
            <v>256990</v>
          </cell>
          <cell r="J173">
            <v>219987</v>
          </cell>
          <cell r="K173" t="str">
            <v>Steve Pearson</v>
          </cell>
          <cell r="L173" t="str">
            <v>Steve Pearson</v>
          </cell>
          <cell r="M173" t="str">
            <v>10/26/2005</v>
          </cell>
          <cell r="N173" t="str">
            <v>3/30/2006</v>
          </cell>
          <cell r="O173" t="str">
            <v>5/8/2006</v>
          </cell>
          <cell r="P173" t="str">
            <v>6/26/2006</v>
          </cell>
        </row>
        <row r="174">
          <cell r="A174" t="str">
            <v>Concord NC  Concord Pkwy N</v>
          </cell>
          <cell r="B174" t="str">
            <v>Open</v>
          </cell>
          <cell r="C174">
            <v>976185</v>
          </cell>
          <cell r="D174">
            <v>1420</v>
          </cell>
          <cell r="E174">
            <v>60</v>
          </cell>
          <cell r="F174" t="str">
            <v>SCC-S</v>
          </cell>
          <cell r="G174" t="str">
            <v>45 - Mid-Atlantic</v>
          </cell>
          <cell r="H174">
            <v>1800</v>
          </cell>
          <cell r="I174">
            <v>241729</v>
          </cell>
          <cell r="J174">
            <v>210515</v>
          </cell>
          <cell r="K174" t="str">
            <v>Steve Pearson</v>
          </cell>
          <cell r="L174" t="str">
            <v>Monica Rubinstein</v>
          </cell>
          <cell r="M174" t="str">
            <v>2/24/2006</v>
          </cell>
          <cell r="N174" t="str">
            <v>5/10/2006</v>
          </cell>
          <cell r="O174" t="str">
            <v>5/22/2006</v>
          </cell>
          <cell r="P174" t="str">
            <v>7/10/2006</v>
          </cell>
        </row>
        <row r="175">
          <cell r="A175" t="str">
            <v>Westchester IL Wolfe &amp; Cermack</v>
          </cell>
          <cell r="B175" t="str">
            <v>Open</v>
          </cell>
          <cell r="C175">
            <v>976151</v>
          </cell>
          <cell r="D175">
            <v>1415</v>
          </cell>
          <cell r="E175">
            <v>49</v>
          </cell>
          <cell r="F175" t="str">
            <v>SCC-S</v>
          </cell>
          <cell r="G175" t="str">
            <v>49 - Midwest</v>
          </cell>
          <cell r="H175">
            <v>2004</v>
          </cell>
          <cell r="I175">
            <v>242775</v>
          </cell>
          <cell r="J175">
            <v>237893.89</v>
          </cell>
          <cell r="K175" t="str">
            <v>Henry  Alva</v>
          </cell>
          <cell r="L175" t="str">
            <v>Brian Huckins</v>
          </cell>
          <cell r="M175" t="str">
            <v>2/24/2006</v>
          </cell>
          <cell r="N175" t="str">
            <v>4/20/2006</v>
          </cell>
          <cell r="O175" t="str">
            <v>5/15/2006</v>
          </cell>
          <cell r="P175" t="str">
            <v>7/10/2006</v>
          </cell>
        </row>
        <row r="176">
          <cell r="A176" t="str">
            <v>Kent WA Kent Station</v>
          </cell>
          <cell r="B176" t="str">
            <v>Open</v>
          </cell>
          <cell r="C176">
            <v>976186</v>
          </cell>
          <cell r="D176">
            <v>1421</v>
          </cell>
          <cell r="E176">
            <v>16</v>
          </cell>
          <cell r="F176" t="str">
            <v>SCC-S</v>
          </cell>
          <cell r="G176" t="str">
            <v>38 - Northwest</v>
          </cell>
          <cell r="H176">
            <v>1849</v>
          </cell>
          <cell r="I176">
            <v>251986</v>
          </cell>
          <cell r="K176" t="str">
            <v>Dave  Triplett</v>
          </cell>
          <cell r="L176" t="str">
            <v>Dennis McKee</v>
          </cell>
          <cell r="M176" t="str">
            <v>3/9/2006</v>
          </cell>
          <cell r="N176" t="str">
            <v>5/12/2006</v>
          </cell>
          <cell r="O176" t="str">
            <v>5/30/2006</v>
          </cell>
          <cell r="P176" t="str">
            <v>7/17/2006</v>
          </cell>
        </row>
        <row r="177">
          <cell r="A177" t="str">
            <v>Rancho Cucamonga CA 4th Street</v>
          </cell>
          <cell r="B177" t="str">
            <v>Open</v>
          </cell>
          <cell r="C177">
            <v>976238</v>
          </cell>
          <cell r="D177">
            <v>1447</v>
          </cell>
          <cell r="E177">
            <v>23</v>
          </cell>
          <cell r="F177" t="str">
            <v>SCC-S</v>
          </cell>
          <cell r="G177" t="str">
            <v>39 - SoCal</v>
          </cell>
          <cell r="H177">
            <v>1700</v>
          </cell>
          <cell r="I177">
            <v>184462</v>
          </cell>
          <cell r="K177" t="str">
            <v>Dave  Triplett</v>
          </cell>
          <cell r="L177" t="str">
            <v>Dennis McKee</v>
          </cell>
          <cell r="M177" t="str">
            <v>3/23/2006</v>
          </cell>
          <cell r="N177" t="str">
            <v>5/23/2006</v>
          </cell>
          <cell r="O177" t="str">
            <v>6/19/2006</v>
          </cell>
          <cell r="P177" t="str">
            <v>7/21/2006</v>
          </cell>
        </row>
        <row r="178">
          <cell r="A178" t="str">
            <v>Charlotte NC Center Lake Dr</v>
          </cell>
          <cell r="B178" t="str">
            <v>Open</v>
          </cell>
          <cell r="C178">
            <v>976235</v>
          </cell>
          <cell r="D178">
            <v>1444</v>
          </cell>
          <cell r="E178">
            <v>60</v>
          </cell>
          <cell r="F178" t="str">
            <v>SCC-S</v>
          </cell>
          <cell r="G178" t="str">
            <v>45 - Mid-Atlantic</v>
          </cell>
          <cell r="H178">
            <v>1880</v>
          </cell>
          <cell r="I178">
            <v>284673</v>
          </cell>
          <cell r="K178" t="str">
            <v>Stephen Ortega</v>
          </cell>
          <cell r="L178" t="str">
            <v>Monica Rubinstein</v>
          </cell>
          <cell r="M178" t="str">
            <v>3/30/2006</v>
          </cell>
          <cell r="N178" t="str">
            <v>5/5/2006</v>
          </cell>
          <cell r="O178" t="str">
            <v>5/30/2006</v>
          </cell>
          <cell r="P178" t="str">
            <v>7/24/2006</v>
          </cell>
        </row>
        <row r="179">
          <cell r="A179" t="str">
            <v>Cary NC Maynard Crossing Ct</v>
          </cell>
          <cell r="B179" t="str">
            <v>Open</v>
          </cell>
          <cell r="C179">
            <v>976236</v>
          </cell>
          <cell r="D179">
            <v>1445</v>
          </cell>
          <cell r="E179">
            <v>60</v>
          </cell>
          <cell r="F179" t="str">
            <v>SCC-S</v>
          </cell>
          <cell r="G179" t="str">
            <v>45 - Mid-Atlantic</v>
          </cell>
          <cell r="H179">
            <v>1800</v>
          </cell>
          <cell r="I179">
            <v>253024</v>
          </cell>
          <cell r="K179" t="str">
            <v>Stephen Ortega</v>
          </cell>
          <cell r="L179" t="str">
            <v>Monica Rubinstein</v>
          </cell>
          <cell r="M179" t="str">
            <v>3/30/2006</v>
          </cell>
          <cell r="N179" t="str">
            <v>6/14/2006</v>
          </cell>
          <cell r="O179" t="str">
            <v>6/15/2006</v>
          </cell>
          <cell r="P179" t="str">
            <v>7/31/2006</v>
          </cell>
        </row>
        <row r="180">
          <cell r="A180" t="str">
            <v>Cedar Hill TX 67 &amp; Pleasant Run Rd</v>
          </cell>
          <cell r="B180" t="str">
            <v>Open</v>
          </cell>
          <cell r="C180">
            <v>976188</v>
          </cell>
          <cell r="D180">
            <v>1423</v>
          </cell>
          <cell r="E180">
            <v>28</v>
          </cell>
          <cell r="F180" t="str">
            <v>SCC-RSA</v>
          </cell>
          <cell r="G180" t="str">
            <v>41 - South Central</v>
          </cell>
          <cell r="H180">
            <v>1727</v>
          </cell>
          <cell r="I180">
            <v>293807</v>
          </cell>
          <cell r="J180">
            <v>270894.34000000003</v>
          </cell>
          <cell r="K180" t="str">
            <v>Henry  Alva</v>
          </cell>
          <cell r="L180" t="str">
            <v>Lisa Loreto</v>
          </cell>
          <cell r="M180" t="str">
            <v>3/9/2006</v>
          </cell>
          <cell r="N180" t="str">
            <v>5/18/2006</v>
          </cell>
          <cell r="O180" t="str">
            <v>6/12/2006</v>
          </cell>
          <cell r="P180" t="str">
            <v>7/31/2006</v>
          </cell>
        </row>
        <row r="181">
          <cell r="A181" t="str">
            <v>Mansfield TX Debbie Lane</v>
          </cell>
          <cell r="B181" t="str">
            <v>Open</v>
          </cell>
          <cell r="C181">
            <v>976190</v>
          </cell>
          <cell r="D181">
            <v>1424</v>
          </cell>
          <cell r="E181">
            <v>31</v>
          </cell>
          <cell r="F181" t="str">
            <v>SCC-S</v>
          </cell>
          <cell r="G181" t="str">
            <v>41 - South Central</v>
          </cell>
          <cell r="H181">
            <v>1670</v>
          </cell>
          <cell r="I181">
            <v>221470</v>
          </cell>
          <cell r="J181">
            <v>229431.8</v>
          </cell>
          <cell r="K181" t="str">
            <v>Henry  Alva</v>
          </cell>
          <cell r="L181" t="str">
            <v>Lisa Loreto</v>
          </cell>
          <cell r="M181" t="str">
            <v>3/30/2006</v>
          </cell>
          <cell r="N181" t="str">
            <v>6/5/2006</v>
          </cell>
          <cell r="O181" t="str">
            <v>6/12/2006</v>
          </cell>
          <cell r="P181" t="str">
            <v>7/31/2006</v>
          </cell>
        </row>
        <row r="182">
          <cell r="A182" t="str">
            <v>Greenbelt MD Beltway &amp; I-95</v>
          </cell>
          <cell r="B182" t="str">
            <v>Open</v>
          </cell>
          <cell r="C182">
            <v>975401</v>
          </cell>
          <cell r="D182">
            <v>1370</v>
          </cell>
          <cell r="E182">
            <v>64</v>
          </cell>
          <cell r="F182" t="str">
            <v>LCC</v>
          </cell>
          <cell r="G182" t="str">
            <v>45 - Mid-Atlantic</v>
          </cell>
          <cell r="H182">
            <v>2512</v>
          </cell>
          <cell r="I182">
            <v>395106</v>
          </cell>
          <cell r="J182">
            <v>354314</v>
          </cell>
          <cell r="K182" t="str">
            <v>Steve Pearson</v>
          </cell>
          <cell r="L182" t="str">
            <v>Brian Huckins</v>
          </cell>
          <cell r="M182" t="str">
            <v>2/3/2006</v>
          </cell>
          <cell r="N182" t="str">
            <v>3/21/2006</v>
          </cell>
          <cell r="O182" t="str">
            <v>6/19/2006</v>
          </cell>
          <cell r="P182" t="str">
            <v>8/7/2006</v>
          </cell>
        </row>
        <row r="183">
          <cell r="A183" t="str">
            <v>Ft. Wayne IN Illinois Rd</v>
          </cell>
          <cell r="B183" t="str">
            <v>Open</v>
          </cell>
          <cell r="C183">
            <v>976209</v>
          </cell>
          <cell r="D183">
            <v>1431</v>
          </cell>
          <cell r="E183">
            <v>50</v>
          </cell>
          <cell r="F183" t="str">
            <v>SCC-S</v>
          </cell>
          <cell r="G183" t="str">
            <v>49 - Midwest</v>
          </cell>
          <cell r="H183">
            <v>1672</v>
          </cell>
          <cell r="I183">
            <v>214386</v>
          </cell>
          <cell r="J183">
            <v>221170.98</v>
          </cell>
          <cell r="K183" t="str">
            <v>Henry  Alva</v>
          </cell>
          <cell r="L183" t="str">
            <v>Brian Huckins</v>
          </cell>
          <cell r="M183" t="str">
            <v>3/23/2006</v>
          </cell>
          <cell r="N183" t="str">
            <v>5/5/2006</v>
          </cell>
          <cell r="O183" t="str">
            <v>6/14/2006</v>
          </cell>
          <cell r="P183" t="str">
            <v>8/8/2006</v>
          </cell>
        </row>
        <row r="184">
          <cell r="A184" t="str">
            <v>Vernon Hills IL  Aspen Point</v>
          </cell>
          <cell r="B184" t="str">
            <v>Open</v>
          </cell>
          <cell r="C184">
            <v>976155</v>
          </cell>
          <cell r="D184">
            <v>1419</v>
          </cell>
          <cell r="E184">
            <v>88</v>
          </cell>
          <cell r="F184" t="str">
            <v>SCC-S</v>
          </cell>
          <cell r="G184" t="str">
            <v>49 - Midwest</v>
          </cell>
          <cell r="H184">
            <v>2000</v>
          </cell>
          <cell r="I184">
            <v>249327</v>
          </cell>
          <cell r="J184">
            <v>252188.14</v>
          </cell>
          <cell r="K184" t="str">
            <v>Henry  Alva</v>
          </cell>
          <cell r="L184" t="str">
            <v>Brian Huckins</v>
          </cell>
          <cell r="M184" t="str">
            <v>2/24/2006</v>
          </cell>
          <cell r="N184" t="str">
            <v>4/25/2006</v>
          </cell>
          <cell r="O184" t="str">
            <v>6/12/2006</v>
          </cell>
          <cell r="P184" t="str">
            <v>8/14/2006</v>
          </cell>
        </row>
        <row r="185">
          <cell r="A185" t="str">
            <v>Tempe AZ Elliott &amp; Kyrene</v>
          </cell>
          <cell r="B185" t="str">
            <v>Open</v>
          </cell>
          <cell r="C185">
            <v>976191</v>
          </cell>
          <cell r="D185">
            <v>1426</v>
          </cell>
          <cell r="E185">
            <v>8</v>
          </cell>
          <cell r="F185" t="str">
            <v>SCC-S</v>
          </cell>
          <cell r="G185" t="str">
            <v>35 - Heartland</v>
          </cell>
          <cell r="H185">
            <v>1890</v>
          </cell>
          <cell r="I185">
            <v>280513</v>
          </cell>
          <cell r="J185">
            <v>251085.64</v>
          </cell>
          <cell r="K185" t="str">
            <v>Dave  Triplett</v>
          </cell>
          <cell r="L185" t="str">
            <v>Monica Rubinstein</v>
          </cell>
          <cell r="M185" t="str">
            <v>3/9/2006</v>
          </cell>
          <cell r="N185" t="str">
            <v>6/8/2006</v>
          </cell>
          <cell r="O185" t="str">
            <v>6/26/2006</v>
          </cell>
          <cell r="P185" t="str">
            <v>8/14/2006</v>
          </cell>
        </row>
        <row r="186">
          <cell r="A186" t="str">
            <v>Wenatchee WA</v>
          </cell>
          <cell r="B186" t="str">
            <v>Open</v>
          </cell>
          <cell r="C186">
            <v>976239</v>
          </cell>
          <cell r="D186">
            <v>1448</v>
          </cell>
          <cell r="E186">
            <v>16</v>
          </cell>
          <cell r="F186" t="str">
            <v>SCC-RSA</v>
          </cell>
          <cell r="G186" t="str">
            <v>38 - Northwest</v>
          </cell>
          <cell r="H186">
            <v>1880</v>
          </cell>
          <cell r="I186">
            <v>308601</v>
          </cell>
          <cell r="K186" t="str">
            <v>Dave  Triplett</v>
          </cell>
          <cell r="L186" t="str">
            <v>Dennis McKee</v>
          </cell>
          <cell r="M186" t="str">
            <v>3/30/2006</v>
          </cell>
          <cell r="N186" t="str">
            <v>5/29/2006</v>
          </cell>
          <cell r="O186" t="str">
            <v>6/26/2006</v>
          </cell>
          <cell r="P186" t="str">
            <v>8/14/2006</v>
          </cell>
        </row>
        <row r="187">
          <cell r="A187" t="str">
            <v>Las Vegas NV Montecito Marketplace</v>
          </cell>
          <cell r="B187" t="str">
            <v>Open</v>
          </cell>
          <cell r="C187">
            <v>976036</v>
          </cell>
          <cell r="D187">
            <v>1377</v>
          </cell>
          <cell r="E187">
            <v>8</v>
          </cell>
          <cell r="F187" t="str">
            <v>SCC-S</v>
          </cell>
          <cell r="G187" t="str">
            <v>35 - Heartland</v>
          </cell>
          <cell r="H187">
            <v>1812</v>
          </cell>
          <cell r="I187">
            <v>236034</v>
          </cell>
          <cell r="K187" t="str">
            <v>Dave  Triplett</v>
          </cell>
          <cell r="L187" t="str">
            <v>Jim Corsano</v>
          </cell>
          <cell r="M187" t="str">
            <v>2/24/2006</v>
          </cell>
          <cell r="N187" t="str">
            <v>6/19/2006</v>
          </cell>
          <cell r="O187" t="str">
            <v>6/19/2006</v>
          </cell>
          <cell r="P187" t="str">
            <v>8/14/2006</v>
          </cell>
        </row>
        <row r="188">
          <cell r="A188" t="str">
            <v>Greensboro NC Battleground</v>
          </cell>
          <cell r="B188" t="str">
            <v>Open</v>
          </cell>
          <cell r="C188">
            <v>976205</v>
          </cell>
          <cell r="D188">
            <v>1428</v>
          </cell>
          <cell r="E188">
            <v>61</v>
          </cell>
          <cell r="F188" t="str">
            <v>SCC-S</v>
          </cell>
          <cell r="G188" t="str">
            <v>45 - Mid-Atlantic</v>
          </cell>
          <cell r="H188">
            <v>1580</v>
          </cell>
          <cell r="I188">
            <v>192172</v>
          </cell>
          <cell r="K188" t="str">
            <v>Stephen Ortega</v>
          </cell>
          <cell r="L188" t="str">
            <v>Monica Rubinstein</v>
          </cell>
          <cell r="M188" t="str">
            <v>3/30/2006</v>
          </cell>
          <cell r="N188" t="str">
            <v>5/5/2006</v>
          </cell>
          <cell r="O188" t="str">
            <v>7/10/2006</v>
          </cell>
          <cell r="P188" t="str">
            <v>8/21/2006</v>
          </cell>
        </row>
        <row r="189">
          <cell r="A189" t="str">
            <v>Las Vegas NV South Strip</v>
          </cell>
          <cell r="B189" t="str">
            <v>Open</v>
          </cell>
          <cell r="C189">
            <v>976230</v>
          </cell>
          <cell r="D189">
            <v>1441</v>
          </cell>
          <cell r="E189">
            <v>8</v>
          </cell>
          <cell r="F189" t="str">
            <v>SCC-S</v>
          </cell>
          <cell r="G189" t="str">
            <v>35 - Heartland</v>
          </cell>
          <cell r="H189">
            <v>2000</v>
          </cell>
          <cell r="I189">
            <v>282382</v>
          </cell>
          <cell r="K189" t="str">
            <v>Dave  Triplett</v>
          </cell>
          <cell r="L189" t="str">
            <v>Dennis McKee</v>
          </cell>
          <cell r="M189" t="str">
            <v>3/9/2006</v>
          </cell>
          <cell r="N189" t="str">
            <v>6/19/2006</v>
          </cell>
          <cell r="O189" t="str">
            <v>6/19/2006</v>
          </cell>
          <cell r="P189" t="str">
            <v>8/21/2006</v>
          </cell>
        </row>
        <row r="190">
          <cell r="A190" t="str">
            <v>Waxachachie TX N Hwy 77</v>
          </cell>
          <cell r="B190" t="str">
            <v>Open</v>
          </cell>
          <cell r="C190">
            <v>976213</v>
          </cell>
          <cell r="D190">
            <v>1437</v>
          </cell>
          <cell r="E190">
            <v>28</v>
          </cell>
          <cell r="F190" t="str">
            <v>SCC-RSA</v>
          </cell>
          <cell r="G190" t="str">
            <v>41 - South Central</v>
          </cell>
          <cell r="H190">
            <v>1900</v>
          </cell>
          <cell r="I190">
            <v>319354</v>
          </cell>
          <cell r="J190">
            <v>281355.52000000002</v>
          </cell>
          <cell r="K190" t="str">
            <v>Henry  Alva</v>
          </cell>
          <cell r="L190" t="str">
            <v>Lisa Loreto</v>
          </cell>
          <cell r="M190" t="str">
            <v>3/9/2006</v>
          </cell>
          <cell r="N190" t="str">
            <v>6/19/2006</v>
          </cell>
          <cell r="O190" t="str">
            <v>7/3/2006</v>
          </cell>
          <cell r="P190" t="str">
            <v>8/21/2006</v>
          </cell>
        </row>
        <row r="191">
          <cell r="A191" t="str">
            <v>Machesney Park IL W Lane Rd</v>
          </cell>
          <cell r="B191" t="str">
            <v>Open</v>
          </cell>
          <cell r="C191">
            <v>976210</v>
          </cell>
          <cell r="D191">
            <v>1436</v>
          </cell>
          <cell r="E191">
            <v>87</v>
          </cell>
          <cell r="F191" t="str">
            <v>SCC-S</v>
          </cell>
          <cell r="G191" t="str">
            <v>49 - Midwest</v>
          </cell>
          <cell r="H191">
            <v>1750</v>
          </cell>
          <cell r="I191">
            <v>248262</v>
          </cell>
          <cell r="J191">
            <v>220082.35</v>
          </cell>
          <cell r="K191" t="str">
            <v>Henry  Alva</v>
          </cell>
          <cell r="L191" t="str">
            <v>Jim Corsano</v>
          </cell>
          <cell r="M191" t="str">
            <v>3/23/2006</v>
          </cell>
          <cell r="N191" t="str">
            <v>5/9/2006</v>
          </cell>
          <cell r="O191" t="str">
            <v>7/10/2006</v>
          </cell>
          <cell r="P191" t="str">
            <v>8/28/2006</v>
          </cell>
        </row>
        <row r="192">
          <cell r="A192" t="str">
            <v>Cedar Rapids IA Edgewood Rd</v>
          </cell>
          <cell r="B192" t="str">
            <v>Open</v>
          </cell>
          <cell r="C192">
            <v>976189</v>
          </cell>
          <cell r="D192">
            <v>1425</v>
          </cell>
          <cell r="E192">
            <v>36</v>
          </cell>
          <cell r="F192" t="str">
            <v>SCC-S</v>
          </cell>
          <cell r="G192" t="str">
            <v>35 - Heartland</v>
          </cell>
          <cell r="H192">
            <v>1800</v>
          </cell>
          <cell r="I192">
            <v>245935</v>
          </cell>
          <cell r="J192">
            <v>251991.34</v>
          </cell>
          <cell r="K192" t="str">
            <v>Henry  Alva</v>
          </cell>
          <cell r="L192" t="str">
            <v>Kim Trignano</v>
          </cell>
          <cell r="M192" t="str">
            <v>3/23/2006</v>
          </cell>
          <cell r="N192" t="str">
            <v>6/28/2006</v>
          </cell>
          <cell r="O192" t="str">
            <v>7/10/2006</v>
          </cell>
          <cell r="P192" t="str">
            <v>8/28/2006</v>
          </cell>
        </row>
        <row r="193">
          <cell r="A193" t="str">
            <v>Newark DE Churchman's Road</v>
          </cell>
          <cell r="B193" t="str">
            <v>Open</v>
          </cell>
          <cell r="C193">
            <v>976237</v>
          </cell>
          <cell r="D193">
            <v>1446</v>
          </cell>
          <cell r="E193">
            <v>72</v>
          </cell>
          <cell r="F193" t="str">
            <v>SCC-S</v>
          </cell>
          <cell r="G193" t="str">
            <v>45 - Mid-Atlantic</v>
          </cell>
          <cell r="H193">
            <v>2000</v>
          </cell>
          <cell r="I193">
            <v>246378</v>
          </cell>
          <cell r="J193">
            <v>258878</v>
          </cell>
          <cell r="K193" t="str">
            <v>Steve Pearson</v>
          </cell>
          <cell r="L193" t="str">
            <v>Jim Corsano</v>
          </cell>
          <cell r="M193" t="str">
            <v>3/23/2006</v>
          </cell>
          <cell r="N193" t="str">
            <v>7/3/2006</v>
          </cell>
          <cell r="O193" t="str">
            <v>7/10/2006</v>
          </cell>
          <cell r="P193" t="str">
            <v>8/28/2006</v>
          </cell>
        </row>
        <row r="194">
          <cell r="A194" t="str">
            <v>Winston-Salem NC Frontis Plaza Blvd</v>
          </cell>
          <cell r="B194" t="str">
            <v>Open</v>
          </cell>
          <cell r="C194">
            <v>976233</v>
          </cell>
          <cell r="D194">
            <v>1442</v>
          </cell>
          <cell r="E194">
            <v>61</v>
          </cell>
          <cell r="F194" t="str">
            <v>SCC-S</v>
          </cell>
          <cell r="G194" t="str">
            <v>45 - Mid-Atlantic</v>
          </cell>
          <cell r="H194">
            <v>1761</v>
          </cell>
          <cell r="I194">
            <v>225800</v>
          </cell>
          <cell r="K194" t="str">
            <v>Stephen Ortega</v>
          </cell>
          <cell r="L194" t="str">
            <v>Kim Trignano</v>
          </cell>
          <cell r="M194" t="str">
            <v>3/23/2006</v>
          </cell>
          <cell r="N194" t="str">
            <v>5/16/2006</v>
          </cell>
          <cell r="O194" t="str">
            <v>7/10/2006</v>
          </cell>
          <cell r="P194" t="str">
            <v>8/28/2006</v>
          </cell>
        </row>
        <row r="195">
          <cell r="A195" t="str">
            <v>Mt. Pleasant SC US Hwy 17</v>
          </cell>
          <cell r="B195" t="str">
            <v>Open</v>
          </cell>
          <cell r="C195">
            <v>976102</v>
          </cell>
          <cell r="D195">
            <v>1392</v>
          </cell>
          <cell r="E195">
            <v>60</v>
          </cell>
          <cell r="F195" t="str">
            <v>SCC-S</v>
          </cell>
          <cell r="G195" t="str">
            <v>45 - Mid-Atlantic</v>
          </cell>
          <cell r="H195">
            <v>2004</v>
          </cell>
          <cell r="I195">
            <v>244667</v>
          </cell>
          <cell r="K195" t="str">
            <v>Stephen Ortega</v>
          </cell>
          <cell r="L195" t="str">
            <v>Monica Rubinstein</v>
          </cell>
          <cell r="M195" t="str">
            <v>2/24/2006</v>
          </cell>
          <cell r="N195" t="str">
            <v>7/7/2006</v>
          </cell>
          <cell r="O195" t="str">
            <v>7/11/2006</v>
          </cell>
          <cell r="P195" t="str">
            <v>8/28/2006</v>
          </cell>
        </row>
        <row r="196">
          <cell r="A196" t="str">
            <v>Denver CO Arapaho &amp; Lima</v>
          </cell>
          <cell r="B196" t="str">
            <v>Open</v>
          </cell>
          <cell r="C196">
            <v>976242</v>
          </cell>
          <cell r="D196">
            <v>1450</v>
          </cell>
          <cell r="E196">
            <v>35</v>
          </cell>
          <cell r="F196" t="str">
            <v>SCC-S</v>
          </cell>
          <cell r="G196" t="str">
            <v>35 - Heartland</v>
          </cell>
          <cell r="H196">
            <v>1737</v>
          </cell>
          <cell r="I196">
            <v>242634</v>
          </cell>
          <cell r="J196">
            <v>222619.6</v>
          </cell>
          <cell r="K196" t="str">
            <v>Henry  Alva</v>
          </cell>
          <cell r="L196" t="str">
            <v>Chris Varney</v>
          </cell>
          <cell r="M196" t="str">
            <v>4/6/2006</v>
          </cell>
          <cell r="N196" t="str">
            <v>6/12/2006</v>
          </cell>
          <cell r="O196" t="str">
            <v>7/10/2006</v>
          </cell>
          <cell r="P196" t="str">
            <v>8/28/2006</v>
          </cell>
        </row>
        <row r="197">
          <cell r="A197" t="str">
            <v>Dallas TX Preston Royal Shopping Center</v>
          </cell>
          <cell r="B197" t="str">
            <v>Open</v>
          </cell>
          <cell r="C197">
            <v>976259</v>
          </cell>
          <cell r="D197">
            <v>1454</v>
          </cell>
          <cell r="E197">
            <v>29</v>
          </cell>
          <cell r="F197" t="str">
            <v>SCC-S</v>
          </cell>
          <cell r="G197" t="str">
            <v>41 - South Central</v>
          </cell>
          <cell r="H197">
            <v>1650</v>
          </cell>
          <cell r="I197">
            <v>240158</v>
          </cell>
          <cell r="J197">
            <v>230281.43</v>
          </cell>
          <cell r="K197" t="str">
            <v>Henry  Alva</v>
          </cell>
          <cell r="L197" t="str">
            <v>Lisa Loreto</v>
          </cell>
          <cell r="M197" t="str">
            <v>4/20/2006</v>
          </cell>
          <cell r="N197" t="str">
            <v>6/30/2006</v>
          </cell>
          <cell r="O197" t="str">
            <v>7/3/2006</v>
          </cell>
          <cell r="P197" t="str">
            <v>8/28/2006</v>
          </cell>
        </row>
        <row r="198">
          <cell r="A198" t="str">
            <v>Yakima WA S First</v>
          </cell>
          <cell r="B198" t="str">
            <v>Open</v>
          </cell>
          <cell r="C198">
            <v>976215</v>
          </cell>
          <cell r="D198">
            <v>1438</v>
          </cell>
          <cell r="E198">
            <v>16</v>
          </cell>
          <cell r="F198" t="str">
            <v>SCC-RSA</v>
          </cell>
          <cell r="G198" t="str">
            <v>38 - Northwest</v>
          </cell>
          <cell r="H198">
            <v>1880</v>
          </cell>
          <cell r="I198">
            <v>322003</v>
          </cell>
          <cell r="K198" t="str">
            <v>Dave  Triplett</v>
          </cell>
          <cell r="L198" t="str">
            <v>Dennis McKee</v>
          </cell>
          <cell r="M198" t="str">
            <v>3/23/2006</v>
          </cell>
          <cell r="N198" t="str">
            <v>5/31/2006</v>
          </cell>
          <cell r="O198" t="str">
            <v>7/17/2006</v>
          </cell>
          <cell r="P198" t="str">
            <v>9/5/2006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6"/>
  <sheetViews>
    <sheetView workbookViewId="0">
      <selection activeCell="G24" sqref="G24"/>
    </sheetView>
  </sheetViews>
  <sheetFormatPr defaultColWidth="8.8984375" defaultRowHeight="14.4"/>
  <cols>
    <col min="1" max="1" width="10.59765625" style="1" customWidth="1"/>
    <col min="2" max="2" width="8.8984375" style="1" customWidth="1"/>
    <col min="3" max="3" width="15.69921875" style="1" customWidth="1"/>
    <col min="4" max="4" width="29.796875" style="1" customWidth="1"/>
    <col min="5" max="5" width="10.09765625" style="1" customWidth="1"/>
    <col min="6" max="6" width="5.296875" style="1" customWidth="1"/>
    <col min="7" max="7" width="11.296875" style="1" customWidth="1"/>
    <col min="8" max="8" width="10.296875" style="1" customWidth="1"/>
    <col min="9" max="9" width="22.3984375" style="1" customWidth="1"/>
    <col min="10" max="16384" width="8.8984375" style="1"/>
  </cols>
  <sheetData>
    <row r="1" spans="1:9" s="4" customFormat="1" ht="6" customHeight="1">
      <c r="A1" s="2"/>
      <c r="B1" s="3"/>
      <c r="C1" s="3"/>
      <c r="D1" s="3"/>
      <c r="E1" s="3"/>
      <c r="F1" s="3"/>
      <c r="G1" s="3"/>
    </row>
    <row r="2" spans="1:9" s="4" customFormat="1" ht="27.75" customHeight="1">
      <c r="A2" s="154" t="s">
        <v>3</v>
      </c>
      <c r="B2" s="154"/>
      <c r="C2" s="154"/>
      <c r="D2" s="154"/>
      <c r="E2" s="154"/>
      <c r="F2" s="154"/>
      <c r="G2" s="154"/>
      <c r="H2" s="155"/>
      <c r="I2" s="155"/>
    </row>
    <row r="3" spans="1:9" s="4" customFormat="1" ht="9" customHeight="1">
      <c r="A3" s="9"/>
      <c r="B3" s="10"/>
      <c r="C3" s="10"/>
      <c r="D3" s="11"/>
      <c r="E3" s="11"/>
      <c r="F3" s="11"/>
      <c r="G3" s="11"/>
    </row>
    <row r="4" spans="1:9" s="5" customFormat="1" ht="27" customHeight="1">
      <c r="A4" s="18" t="s">
        <v>4</v>
      </c>
      <c r="B4" s="20" t="s">
        <v>130</v>
      </c>
      <c r="C4" s="19"/>
      <c r="D4" s="23"/>
      <c r="E4" s="61" t="s">
        <v>10</v>
      </c>
      <c r="F4" s="62"/>
      <c r="G4" s="62"/>
      <c r="H4" s="62"/>
      <c r="I4" s="63"/>
    </row>
    <row r="5" spans="1:9" s="5" customFormat="1" ht="27" customHeight="1">
      <c r="A5" s="18" t="s">
        <v>5</v>
      </c>
      <c r="B5" s="20" t="s">
        <v>138</v>
      </c>
      <c r="C5" s="19"/>
      <c r="D5" s="24"/>
      <c r="E5" s="64" t="s">
        <v>124</v>
      </c>
      <c r="F5" s="65"/>
      <c r="G5" s="65"/>
      <c r="H5" s="65"/>
      <c r="I5" s="66"/>
    </row>
    <row r="6" spans="1:9" s="5" customFormat="1" ht="23.25" customHeight="1">
      <c r="A6" s="18" t="s">
        <v>6</v>
      </c>
      <c r="B6" s="20" t="s">
        <v>132</v>
      </c>
      <c r="C6" s="19"/>
      <c r="D6" s="24"/>
      <c r="E6" s="64" t="s">
        <v>11</v>
      </c>
      <c r="F6" s="65"/>
      <c r="G6" s="65"/>
      <c r="H6" s="65"/>
      <c r="I6" s="66"/>
    </row>
    <row r="7" spans="1:9" s="5" customFormat="1" ht="23.25" customHeight="1">
      <c r="A7" s="18" t="s">
        <v>7</v>
      </c>
      <c r="B7" s="20" t="s">
        <v>131</v>
      </c>
      <c r="C7" s="19"/>
      <c r="D7" s="24"/>
      <c r="E7" s="67" t="s">
        <v>12</v>
      </c>
      <c r="F7" s="68"/>
      <c r="G7" s="68"/>
      <c r="H7" s="68"/>
      <c r="I7" s="69"/>
    </row>
    <row r="8" spans="1:9" s="5" customFormat="1" ht="8.25" customHeight="1">
      <c r="A8" s="14"/>
      <c r="B8" s="15"/>
      <c r="C8" s="16"/>
      <c r="D8" s="13"/>
      <c r="E8" s="13"/>
      <c r="F8" s="14"/>
      <c r="G8" s="13"/>
    </row>
    <row r="9" spans="1:9" s="5" customFormat="1" ht="20.100000000000001" customHeight="1">
      <c r="A9" s="21" t="s">
        <v>8</v>
      </c>
      <c r="B9" s="156" t="s">
        <v>134</v>
      </c>
      <c r="C9" s="157"/>
      <c r="D9" s="157"/>
      <c r="E9" s="157"/>
      <c r="F9" s="157"/>
      <c r="G9" s="157"/>
      <c r="H9" s="157"/>
      <c r="I9" s="158"/>
    </row>
    <row r="10" spans="1:9" s="5" customFormat="1" ht="20.100000000000001" customHeight="1">
      <c r="A10" s="21" t="s">
        <v>13</v>
      </c>
      <c r="B10" s="156" t="s">
        <v>133</v>
      </c>
      <c r="C10" s="159"/>
      <c r="D10" s="159"/>
      <c r="E10" s="159"/>
      <c r="F10" s="159"/>
      <c r="G10" s="159"/>
      <c r="H10" s="159"/>
      <c r="I10" s="160"/>
    </row>
    <row r="11" spans="1:9" s="5" customFormat="1" ht="20.100000000000001" customHeight="1">
      <c r="A11" s="22" t="s">
        <v>0</v>
      </c>
      <c r="B11" s="161" t="str">
        <f>TEXT(G24," 일금[DBNum4][$-412]G/표준원정") &amp; " (" &amp; DOLLAR(G24) &amp; " 부가세별도)"</f>
        <v xml:space="preserve"> 일금일천육백일십만원정 (₩16,100,000 부가세별도)</v>
      </c>
      <c r="C11" s="162"/>
      <c r="D11" s="162"/>
      <c r="E11" s="162"/>
      <c r="F11" s="162"/>
      <c r="G11" s="162"/>
      <c r="H11" s="162"/>
      <c r="I11" s="163"/>
    </row>
    <row r="12" spans="1:9" s="6" customFormat="1" ht="20.25" customHeight="1">
      <c r="A12" s="25" t="s">
        <v>2</v>
      </c>
      <c r="B12" s="16"/>
      <c r="C12" s="16"/>
      <c r="D12" s="56"/>
      <c r="E12" s="56"/>
      <c r="F12" s="12"/>
      <c r="G12" s="57"/>
      <c r="I12" s="57" t="s">
        <v>1</v>
      </c>
    </row>
    <row r="13" spans="1:9" s="7" customFormat="1" ht="28.5" customHeight="1" thickBot="1">
      <c r="A13" s="72" t="s">
        <v>31</v>
      </c>
      <c r="B13" s="84" t="s">
        <v>32</v>
      </c>
      <c r="C13" s="84" t="s">
        <v>33</v>
      </c>
      <c r="D13" s="84" t="s">
        <v>34</v>
      </c>
      <c r="E13" s="85" t="s">
        <v>35</v>
      </c>
      <c r="F13" s="73" t="s">
        <v>141</v>
      </c>
      <c r="G13" s="74" t="s">
        <v>140</v>
      </c>
      <c r="H13" s="74" t="s">
        <v>139</v>
      </c>
      <c r="I13" s="74" t="s">
        <v>38</v>
      </c>
    </row>
    <row r="14" spans="1:9" s="7" customFormat="1" ht="18.75" customHeight="1">
      <c r="A14" s="140" t="s">
        <v>136</v>
      </c>
      <c r="B14" s="174" t="s">
        <v>39</v>
      </c>
      <c r="C14" s="176" t="s">
        <v>75</v>
      </c>
      <c r="D14" s="98" t="s">
        <v>76</v>
      </c>
      <c r="E14" s="106">
        <v>15000000</v>
      </c>
      <c r="F14" s="178">
        <v>0.1</v>
      </c>
      <c r="G14" s="200">
        <f>SUM(E14:E17)*F14</f>
        <v>14300000</v>
      </c>
      <c r="H14" s="202">
        <f>G14/12</f>
        <v>1191666.6666666667</v>
      </c>
      <c r="I14" s="133" t="s">
        <v>142</v>
      </c>
    </row>
    <row r="15" spans="1:9" s="7" customFormat="1" ht="18.75" customHeight="1" thickBot="1">
      <c r="A15" s="168"/>
      <c r="B15" s="175"/>
      <c r="C15" s="177"/>
      <c r="D15" s="99" t="s">
        <v>77</v>
      </c>
      <c r="E15" s="204">
        <v>128000000</v>
      </c>
      <c r="F15" s="179"/>
      <c r="G15" s="201"/>
      <c r="H15" s="203"/>
      <c r="I15" s="182"/>
    </row>
    <row r="16" spans="1:9" s="7" customFormat="1" ht="18.75" customHeight="1">
      <c r="A16" s="135"/>
      <c r="B16" s="135" t="s">
        <v>48</v>
      </c>
      <c r="C16" s="86" t="s">
        <v>20</v>
      </c>
      <c r="D16" s="87" t="s">
        <v>78</v>
      </c>
      <c r="E16" s="143"/>
      <c r="F16" s="179"/>
      <c r="G16" s="201"/>
      <c r="H16" s="203"/>
      <c r="I16" s="182"/>
    </row>
    <row r="17" spans="1:9" s="7" customFormat="1" ht="18.75" customHeight="1">
      <c r="A17" s="135"/>
      <c r="B17" s="136"/>
      <c r="C17" s="78" t="s">
        <v>21</v>
      </c>
      <c r="D17" s="75" t="s">
        <v>79</v>
      </c>
      <c r="E17" s="144"/>
      <c r="F17" s="180"/>
      <c r="G17" s="201"/>
      <c r="H17" s="203"/>
      <c r="I17" s="182"/>
    </row>
    <row r="18" spans="1:9" s="7" customFormat="1" ht="18.75" customHeight="1">
      <c r="A18" s="135"/>
      <c r="B18" s="170" t="s">
        <v>83</v>
      </c>
      <c r="C18" s="78" t="s">
        <v>49</v>
      </c>
      <c r="D18" s="75" t="s">
        <v>81</v>
      </c>
      <c r="E18" s="80">
        <v>10000000</v>
      </c>
      <c r="F18" s="108">
        <v>0.1</v>
      </c>
      <c r="G18" s="81">
        <f>(E18*F18)</f>
        <v>1000000</v>
      </c>
      <c r="H18" s="81">
        <f>G18/12</f>
        <v>83333.333333333328</v>
      </c>
      <c r="I18" s="183"/>
    </row>
    <row r="19" spans="1:9" s="7" customFormat="1" ht="18.75" customHeight="1" thickBot="1">
      <c r="A19" s="173"/>
      <c r="B19" s="171"/>
      <c r="C19" s="124" t="s">
        <v>47</v>
      </c>
      <c r="D19" s="125" t="s">
        <v>80</v>
      </c>
      <c r="E19" s="126">
        <v>59000000</v>
      </c>
      <c r="F19" s="127">
        <v>0.12</v>
      </c>
      <c r="G19" s="128"/>
      <c r="H19" s="128">
        <f>G19/12</f>
        <v>0</v>
      </c>
      <c r="I19" s="184"/>
    </row>
    <row r="20" spans="1:9" s="7" customFormat="1" ht="24.6" customHeight="1" thickTop="1" thickBot="1">
      <c r="A20" s="168" t="s">
        <v>135</v>
      </c>
      <c r="B20" s="117" t="s">
        <v>39</v>
      </c>
      <c r="C20" s="118" t="s">
        <v>82</v>
      </c>
      <c r="D20" s="119" t="s">
        <v>84</v>
      </c>
      <c r="E20" s="169">
        <f>20000000/250*100</f>
        <v>8000000</v>
      </c>
      <c r="F20" s="172">
        <v>0.1</v>
      </c>
      <c r="G20" s="181">
        <f>E20*F20</f>
        <v>800000</v>
      </c>
      <c r="H20" s="181">
        <f>G20/12</f>
        <v>66666.666666666672</v>
      </c>
      <c r="I20" s="134" t="s">
        <v>143</v>
      </c>
    </row>
    <row r="21" spans="1:9" s="7" customFormat="1" ht="21" customHeight="1">
      <c r="A21" s="141"/>
      <c r="B21" s="135" t="s">
        <v>48</v>
      </c>
      <c r="C21" s="86" t="s">
        <v>20</v>
      </c>
      <c r="D21" s="87" t="s">
        <v>78</v>
      </c>
      <c r="E21" s="143"/>
      <c r="F21" s="146"/>
      <c r="G21" s="148"/>
      <c r="H21" s="148"/>
      <c r="I21" s="134"/>
    </row>
    <row r="22" spans="1:9" s="7" customFormat="1" ht="21" customHeight="1">
      <c r="A22" s="141"/>
      <c r="B22" s="136"/>
      <c r="C22" s="78" t="s">
        <v>21</v>
      </c>
      <c r="D22" s="75" t="s">
        <v>79</v>
      </c>
      <c r="E22" s="144"/>
      <c r="F22" s="146"/>
      <c r="G22" s="148"/>
      <c r="H22" s="148"/>
      <c r="I22" s="134"/>
    </row>
    <row r="23" spans="1:9" s="7" customFormat="1" ht="21" customHeight="1" thickBot="1">
      <c r="A23" s="141"/>
      <c r="B23" s="83" t="s">
        <v>44</v>
      </c>
      <c r="C23" s="112" t="s">
        <v>47</v>
      </c>
      <c r="D23" s="113" t="s">
        <v>80</v>
      </c>
      <c r="E23" s="114">
        <f>5000000/250*100</f>
        <v>2000000</v>
      </c>
      <c r="F23" s="115">
        <v>0.12</v>
      </c>
      <c r="G23" s="116"/>
      <c r="H23" s="116">
        <f>G23/12</f>
        <v>0</v>
      </c>
      <c r="I23" s="134"/>
    </row>
    <row r="24" spans="1:9" s="7" customFormat="1" ht="25.8" customHeight="1" thickTop="1" thickBot="1">
      <c r="A24" s="197" t="s">
        <v>121</v>
      </c>
      <c r="B24" s="198"/>
      <c r="C24" s="198"/>
      <c r="D24" s="198"/>
      <c r="E24" s="198"/>
      <c r="F24" s="199"/>
      <c r="G24" s="104">
        <f>SUM(G14:G23)</f>
        <v>16100000</v>
      </c>
      <c r="H24" s="104">
        <f>SUM(H14:H23)</f>
        <v>1341666.6666666667</v>
      </c>
      <c r="I24" s="105"/>
    </row>
    <row r="25" spans="1:9" s="6" customFormat="1" ht="23.4" hidden="1" customHeight="1" thickTop="1">
      <c r="A25" s="17"/>
      <c r="B25" s="16"/>
      <c r="C25" s="16"/>
      <c r="D25" s="16"/>
      <c r="E25" s="12"/>
      <c r="F25" s="12"/>
      <c r="G25" s="60"/>
    </row>
    <row r="26" spans="1:9" s="6" customFormat="1" ht="20.25" hidden="1" customHeight="1">
      <c r="A26" s="25" t="s">
        <v>125</v>
      </c>
      <c r="B26" s="16"/>
      <c r="C26" s="16"/>
      <c r="D26" s="56"/>
      <c r="E26" s="56"/>
      <c r="F26" s="12"/>
      <c r="G26" s="57"/>
      <c r="I26" s="57" t="s">
        <v>1</v>
      </c>
    </row>
    <row r="27" spans="1:9" s="7" customFormat="1" ht="28.5" hidden="1" customHeight="1" thickBot="1">
      <c r="A27" s="72" t="s">
        <v>31</v>
      </c>
      <c r="B27" s="84" t="s">
        <v>32</v>
      </c>
      <c r="C27" s="84" t="s">
        <v>33</v>
      </c>
      <c r="D27" s="84" t="s">
        <v>34</v>
      </c>
      <c r="E27" s="85" t="s">
        <v>35</v>
      </c>
      <c r="F27" s="73" t="s">
        <v>45</v>
      </c>
      <c r="G27" s="74" t="s">
        <v>36</v>
      </c>
      <c r="H27" s="74" t="s">
        <v>37</v>
      </c>
      <c r="I27" s="74" t="s">
        <v>38</v>
      </c>
    </row>
    <row r="28" spans="1:9" s="7" customFormat="1" ht="24.6" hidden="1" customHeight="1" thickBot="1">
      <c r="A28" s="140" t="s">
        <v>122</v>
      </c>
      <c r="B28" s="95" t="s">
        <v>39</v>
      </c>
      <c r="C28" s="96" t="s">
        <v>67</v>
      </c>
      <c r="D28" s="97" t="s">
        <v>71</v>
      </c>
      <c r="E28" s="142">
        <v>43000000</v>
      </c>
      <c r="F28" s="145">
        <v>0.1</v>
      </c>
      <c r="G28" s="147">
        <f>E28*F28</f>
        <v>4300000</v>
      </c>
      <c r="H28" s="147">
        <f>G28/12</f>
        <v>358333.33333333331</v>
      </c>
      <c r="I28" s="133" t="s">
        <v>127</v>
      </c>
    </row>
    <row r="29" spans="1:9" s="7" customFormat="1" ht="21" hidden="1" customHeight="1">
      <c r="A29" s="141"/>
      <c r="B29" s="135" t="s">
        <v>48</v>
      </c>
      <c r="C29" s="86" t="s">
        <v>20</v>
      </c>
      <c r="D29" s="87" t="s">
        <v>78</v>
      </c>
      <c r="E29" s="143"/>
      <c r="F29" s="146"/>
      <c r="G29" s="148"/>
      <c r="H29" s="148"/>
      <c r="I29" s="134"/>
    </row>
    <row r="30" spans="1:9" s="7" customFormat="1" ht="21" hidden="1" customHeight="1">
      <c r="A30" s="141"/>
      <c r="B30" s="136"/>
      <c r="C30" s="78" t="s">
        <v>21</v>
      </c>
      <c r="D30" s="75" t="s">
        <v>73</v>
      </c>
      <c r="E30" s="144"/>
      <c r="F30" s="146"/>
      <c r="G30" s="148"/>
      <c r="H30" s="148"/>
      <c r="I30" s="134"/>
    </row>
    <row r="31" spans="1:9" s="7" customFormat="1" ht="20.25" hidden="1" customHeight="1">
      <c r="A31" s="137" t="s">
        <v>123</v>
      </c>
      <c r="B31" s="138"/>
      <c r="C31" s="138"/>
      <c r="D31" s="138"/>
      <c r="E31" s="138"/>
      <c r="F31" s="139"/>
      <c r="G31" s="76">
        <f>SUM(G28:G30)</f>
        <v>4300000</v>
      </c>
      <c r="H31" s="76">
        <f>G31/12</f>
        <v>358333.33333333331</v>
      </c>
      <c r="I31" s="82"/>
    </row>
    <row r="32" spans="1:9" s="6" customFormat="1" ht="9.75" customHeight="1" thickTop="1">
      <c r="A32" s="17"/>
      <c r="B32" s="16"/>
      <c r="C32" s="16"/>
      <c r="D32" s="16"/>
      <c r="E32" s="12"/>
      <c r="F32" s="12"/>
      <c r="G32" s="60"/>
    </row>
    <row r="33" spans="1:9" s="5" customFormat="1" ht="18" hidden="1" customHeight="1">
      <c r="A33" s="26" t="s">
        <v>57</v>
      </c>
      <c r="B33" s="150" t="s">
        <v>59</v>
      </c>
      <c r="C33" s="151"/>
      <c r="D33" s="151"/>
      <c r="E33" s="151"/>
      <c r="F33" s="151"/>
      <c r="G33" s="151"/>
      <c r="H33" s="152"/>
      <c r="I33" s="153"/>
    </row>
    <row r="34" spans="1:9" s="5" customFormat="1" ht="18" hidden="1" customHeight="1">
      <c r="A34" s="27" t="s">
        <v>64</v>
      </c>
      <c r="B34" s="149" t="s">
        <v>62</v>
      </c>
      <c r="C34" s="130"/>
      <c r="D34" s="130"/>
      <c r="E34" s="130"/>
      <c r="F34" s="130"/>
      <c r="G34" s="130"/>
      <c r="H34" s="131"/>
      <c r="I34" s="132"/>
    </row>
    <row r="35" spans="1:9" s="5" customFormat="1" ht="18" hidden="1" customHeight="1">
      <c r="A35" s="27" t="s">
        <v>65</v>
      </c>
      <c r="B35" s="149" t="s">
        <v>63</v>
      </c>
      <c r="C35" s="130"/>
      <c r="D35" s="130"/>
      <c r="E35" s="130"/>
      <c r="F35" s="130"/>
      <c r="G35" s="130"/>
      <c r="H35" s="131"/>
      <c r="I35" s="132"/>
    </row>
    <row r="36" spans="1:9" s="5" customFormat="1" ht="18" hidden="1" customHeight="1">
      <c r="A36" s="27" t="s">
        <v>58</v>
      </c>
      <c r="B36" s="149" t="s">
        <v>60</v>
      </c>
      <c r="C36" s="130"/>
      <c r="D36" s="130"/>
      <c r="E36" s="130"/>
      <c r="F36" s="130"/>
      <c r="G36" s="130"/>
      <c r="H36" s="131"/>
      <c r="I36" s="132"/>
    </row>
    <row r="37" spans="1:9" s="5" customFormat="1" ht="18" hidden="1" customHeight="1">
      <c r="A37" s="27"/>
      <c r="B37" s="129" t="s">
        <v>66</v>
      </c>
      <c r="C37" s="130"/>
      <c r="D37" s="130"/>
      <c r="E37" s="130"/>
      <c r="F37" s="130"/>
      <c r="G37" s="130"/>
      <c r="H37" s="131"/>
      <c r="I37" s="132"/>
    </row>
    <row r="38" spans="1:9" s="5" customFormat="1" ht="18" hidden="1" customHeight="1">
      <c r="A38" s="27"/>
      <c r="B38" s="129" t="s">
        <v>56</v>
      </c>
      <c r="C38" s="130"/>
      <c r="D38" s="130"/>
      <c r="E38" s="130"/>
      <c r="F38" s="130"/>
      <c r="G38" s="130"/>
      <c r="H38" s="131"/>
      <c r="I38" s="132"/>
    </row>
    <row r="39" spans="1:9" s="5" customFormat="1" ht="18" hidden="1" customHeight="1">
      <c r="A39" s="27"/>
      <c r="B39" s="129" t="s">
        <v>55</v>
      </c>
      <c r="C39" s="130"/>
      <c r="D39" s="130"/>
      <c r="E39" s="130"/>
      <c r="F39" s="130"/>
      <c r="G39" s="130"/>
      <c r="H39" s="131"/>
      <c r="I39" s="132"/>
    </row>
    <row r="40" spans="1:9" s="5" customFormat="1" ht="18" hidden="1" customHeight="1">
      <c r="A40" s="27"/>
      <c r="B40" s="129" t="s">
        <v>61</v>
      </c>
      <c r="C40" s="130"/>
      <c r="D40" s="130"/>
      <c r="E40" s="130"/>
      <c r="F40" s="130"/>
      <c r="G40" s="130"/>
      <c r="H40" s="131"/>
      <c r="I40" s="132"/>
    </row>
    <row r="41" spans="1:9" s="5" customFormat="1" ht="18" hidden="1" customHeight="1">
      <c r="A41" s="27"/>
      <c r="B41" s="129" t="s">
        <v>52</v>
      </c>
      <c r="C41" s="130"/>
      <c r="D41" s="130"/>
      <c r="E41" s="130"/>
      <c r="F41" s="130"/>
      <c r="G41" s="130"/>
      <c r="H41" s="131"/>
      <c r="I41" s="132"/>
    </row>
    <row r="42" spans="1:9" s="5" customFormat="1" ht="18" hidden="1" customHeight="1">
      <c r="A42" s="27"/>
      <c r="B42" s="129" t="s">
        <v>53</v>
      </c>
      <c r="C42" s="130"/>
      <c r="D42" s="130"/>
      <c r="E42" s="130"/>
      <c r="F42" s="130"/>
      <c r="G42" s="130"/>
      <c r="H42" s="131"/>
      <c r="I42" s="132"/>
    </row>
    <row r="43" spans="1:9" s="5" customFormat="1" ht="18" hidden="1" customHeight="1">
      <c r="A43" s="27"/>
      <c r="B43" s="129" t="s">
        <v>54</v>
      </c>
      <c r="C43" s="130"/>
      <c r="D43" s="130"/>
      <c r="E43" s="130"/>
      <c r="F43" s="130"/>
      <c r="G43" s="130"/>
      <c r="H43" s="131"/>
      <c r="I43" s="132"/>
    </row>
    <row r="44" spans="1:9" s="5" customFormat="1" ht="18" hidden="1" customHeight="1">
      <c r="A44" s="27"/>
      <c r="B44" s="193"/>
      <c r="C44" s="194"/>
      <c r="D44" s="194"/>
      <c r="E44" s="194"/>
      <c r="F44" s="194"/>
      <c r="G44" s="194"/>
      <c r="H44" s="195"/>
      <c r="I44" s="196"/>
    </row>
    <row r="45" spans="1:9" s="5" customFormat="1" ht="18" customHeight="1">
      <c r="A45" s="110" t="s">
        <v>22</v>
      </c>
      <c r="B45" s="189" t="s">
        <v>23</v>
      </c>
      <c r="C45" s="190"/>
      <c r="D45" s="190"/>
      <c r="E45" s="190"/>
      <c r="F45" s="190"/>
      <c r="G45" s="190"/>
      <c r="H45" s="191"/>
      <c r="I45" s="192"/>
    </row>
    <row r="46" spans="1:9" s="5" customFormat="1" ht="18" customHeight="1">
      <c r="A46" s="111"/>
      <c r="B46" s="164" t="s">
        <v>24</v>
      </c>
      <c r="C46" s="165"/>
      <c r="D46" s="165"/>
      <c r="E46" s="165"/>
      <c r="F46" s="165"/>
      <c r="G46" s="165"/>
      <c r="H46" s="166"/>
      <c r="I46" s="167"/>
    </row>
    <row r="47" spans="1:9" s="5" customFormat="1" ht="18" customHeight="1">
      <c r="A47" s="111"/>
      <c r="B47" s="164" t="s">
        <v>25</v>
      </c>
      <c r="C47" s="165"/>
      <c r="D47" s="165"/>
      <c r="E47" s="165"/>
      <c r="F47" s="165"/>
      <c r="G47" s="165"/>
      <c r="H47" s="166"/>
      <c r="I47" s="167"/>
    </row>
    <row r="48" spans="1:9" s="5" customFormat="1" ht="18" customHeight="1">
      <c r="A48" s="111"/>
      <c r="B48" s="164" t="s">
        <v>26</v>
      </c>
      <c r="C48" s="165"/>
      <c r="D48" s="165"/>
      <c r="E48" s="165"/>
      <c r="F48" s="165"/>
      <c r="G48" s="165"/>
      <c r="H48" s="166"/>
      <c r="I48" s="167"/>
    </row>
    <row r="49" spans="1:9" s="5" customFormat="1" ht="18" customHeight="1">
      <c r="A49" s="111"/>
      <c r="B49" s="164" t="s">
        <v>50</v>
      </c>
      <c r="C49" s="165"/>
      <c r="D49" s="165"/>
      <c r="E49" s="165"/>
      <c r="F49" s="165"/>
      <c r="G49" s="165"/>
      <c r="H49" s="166"/>
      <c r="I49" s="167"/>
    </row>
    <row r="50" spans="1:9" s="5" customFormat="1" ht="18" customHeight="1">
      <c r="A50" s="111"/>
      <c r="B50" s="164" t="s">
        <v>51</v>
      </c>
      <c r="C50" s="165"/>
      <c r="D50" s="165"/>
      <c r="E50" s="165"/>
      <c r="F50" s="165"/>
      <c r="G50" s="165"/>
      <c r="H50" s="166"/>
      <c r="I50" s="167"/>
    </row>
    <row r="51" spans="1:9" s="5" customFormat="1" ht="18" customHeight="1">
      <c r="A51" s="111"/>
      <c r="B51" s="164" t="s">
        <v>27</v>
      </c>
      <c r="C51" s="165"/>
      <c r="D51" s="165"/>
      <c r="E51" s="165"/>
      <c r="F51" s="165"/>
      <c r="G51" s="165"/>
      <c r="H51" s="166"/>
      <c r="I51" s="167"/>
    </row>
    <row r="52" spans="1:9" s="5" customFormat="1" ht="18" customHeight="1">
      <c r="A52" s="111"/>
      <c r="B52" s="164" t="s">
        <v>28</v>
      </c>
      <c r="C52" s="165"/>
      <c r="D52" s="165"/>
      <c r="E52" s="165"/>
      <c r="F52" s="165"/>
      <c r="G52" s="165"/>
      <c r="H52" s="166"/>
      <c r="I52" s="167"/>
    </row>
    <row r="53" spans="1:9" s="5" customFormat="1" ht="18" customHeight="1">
      <c r="A53" s="110" t="s">
        <v>29</v>
      </c>
      <c r="B53" s="189" t="s">
        <v>128</v>
      </c>
      <c r="C53" s="190"/>
      <c r="D53" s="190"/>
      <c r="E53" s="190"/>
      <c r="F53" s="190"/>
      <c r="G53" s="190"/>
      <c r="H53" s="191"/>
      <c r="I53" s="192"/>
    </row>
    <row r="54" spans="1:9" s="5" customFormat="1" ht="18" customHeight="1">
      <c r="A54" s="111"/>
      <c r="B54" s="164" t="s">
        <v>46</v>
      </c>
      <c r="C54" s="165"/>
      <c r="D54" s="165"/>
      <c r="E54" s="165"/>
      <c r="F54" s="165"/>
      <c r="G54" s="165"/>
      <c r="H54" s="166"/>
      <c r="I54" s="167"/>
    </row>
    <row r="55" spans="1:9" s="5" customFormat="1" ht="18" customHeight="1">
      <c r="A55" s="111"/>
      <c r="B55" s="164" t="s">
        <v>40</v>
      </c>
      <c r="C55" s="165"/>
      <c r="D55" s="165"/>
      <c r="E55" s="165"/>
      <c r="F55" s="165"/>
      <c r="G55" s="165"/>
      <c r="H55" s="166"/>
      <c r="I55" s="167"/>
    </row>
    <row r="56" spans="1:9" s="5" customFormat="1" ht="18" customHeight="1">
      <c r="A56" s="111"/>
      <c r="B56" s="164" t="s">
        <v>41</v>
      </c>
      <c r="C56" s="165"/>
      <c r="D56" s="165"/>
      <c r="E56" s="165"/>
      <c r="F56" s="165"/>
      <c r="G56" s="165"/>
      <c r="H56" s="166"/>
      <c r="I56" s="167"/>
    </row>
    <row r="57" spans="1:9" s="5" customFormat="1" ht="18" hidden="1" customHeight="1">
      <c r="A57" s="111"/>
      <c r="B57" s="164" t="s">
        <v>42</v>
      </c>
      <c r="C57" s="165"/>
      <c r="D57" s="165"/>
      <c r="E57" s="165"/>
      <c r="F57" s="165"/>
      <c r="G57" s="165"/>
      <c r="H57" s="166"/>
      <c r="I57" s="167"/>
    </row>
    <row r="58" spans="1:9" s="8" customFormat="1" ht="18" customHeight="1">
      <c r="A58" s="103" t="s">
        <v>30</v>
      </c>
      <c r="B58" s="185" t="s">
        <v>43</v>
      </c>
      <c r="C58" s="186"/>
      <c r="D58" s="186"/>
      <c r="E58" s="186"/>
      <c r="F58" s="186"/>
      <c r="G58" s="186"/>
      <c r="H58" s="187"/>
      <c r="I58" s="188"/>
    </row>
    <row r="59" spans="1:9" s="6" customFormat="1" ht="13.5" customHeight="1">
      <c r="A59" s="17"/>
      <c r="B59" s="16"/>
      <c r="C59" s="16"/>
      <c r="D59" s="56"/>
      <c r="E59" s="56"/>
      <c r="F59" s="12"/>
      <c r="G59" s="60"/>
    </row>
    <row r="60" spans="1:9" customFormat="1" ht="15.9" customHeight="1"/>
    <row r="61" spans="1:9" s="4" customFormat="1"/>
    <row r="62" spans="1:9" s="4" customFormat="1"/>
    <row r="63" spans="1:9" s="4" customFormat="1"/>
    <row r="64" spans="1:9" s="4" customFormat="1"/>
    <row r="65" s="4" customFormat="1"/>
    <row r="66" s="4" customFormat="1"/>
  </sheetData>
  <mergeCells count="56">
    <mergeCell ref="A24:F24"/>
    <mergeCell ref="G14:G17"/>
    <mergeCell ref="H14:H17"/>
    <mergeCell ref="E15:E17"/>
    <mergeCell ref="B16:B17"/>
    <mergeCell ref="I14:I19"/>
    <mergeCell ref="B58:I58"/>
    <mergeCell ref="B51:I51"/>
    <mergeCell ref="B52:I52"/>
    <mergeCell ref="B53:I53"/>
    <mergeCell ref="B54:I54"/>
    <mergeCell ref="B55:I55"/>
    <mergeCell ref="B56:I56"/>
    <mergeCell ref="B57:I57"/>
    <mergeCell ref="B49:I49"/>
    <mergeCell ref="B50:I50"/>
    <mergeCell ref="B48:I48"/>
    <mergeCell ref="B45:I45"/>
    <mergeCell ref="B46:I46"/>
    <mergeCell ref="G20:G22"/>
    <mergeCell ref="B44:I44"/>
    <mergeCell ref="A2:I2"/>
    <mergeCell ref="B9:I9"/>
    <mergeCell ref="B10:I10"/>
    <mergeCell ref="B11:I11"/>
    <mergeCell ref="B47:I47"/>
    <mergeCell ref="A20:A23"/>
    <mergeCell ref="E20:E22"/>
    <mergeCell ref="B18:B19"/>
    <mergeCell ref="B21:B22"/>
    <mergeCell ref="F20:F22"/>
    <mergeCell ref="A14:A19"/>
    <mergeCell ref="B14:B15"/>
    <mergeCell ref="C14:C15"/>
    <mergeCell ref="F14:F17"/>
    <mergeCell ref="H20:H22"/>
    <mergeCell ref="I20:I23"/>
    <mergeCell ref="B39:I39"/>
    <mergeCell ref="B40:I40"/>
    <mergeCell ref="B41:I41"/>
    <mergeCell ref="B42:I42"/>
    <mergeCell ref="B43:I43"/>
    <mergeCell ref="B38:I38"/>
    <mergeCell ref="I28:I30"/>
    <mergeCell ref="B29:B30"/>
    <mergeCell ref="A31:F31"/>
    <mergeCell ref="A28:A30"/>
    <mergeCell ref="E28:E30"/>
    <mergeCell ref="F28:F30"/>
    <mergeCell ref="G28:G30"/>
    <mergeCell ref="H28:H30"/>
    <mergeCell ref="B36:I36"/>
    <mergeCell ref="B35:I35"/>
    <mergeCell ref="B37:I37"/>
    <mergeCell ref="B33:I33"/>
    <mergeCell ref="B34:I34"/>
  </mergeCells>
  <phoneticPr fontId="3" type="noConversion"/>
  <dataValidations disablePrompts="1" count="1">
    <dataValidation allowBlank="1" showInputMessage="1" showErrorMessage="1" promptTitle="견적금액 표시" prompt="공급금액 합계(VAT별도)를 견적금액(VAT별도) 한글로 자동변환 표시" sqref="B11:F11 B9:B10"/>
  </dataValidations>
  <pageMargins left="0.31" right="0.24" top="0.38" bottom="0.43" header="0.3" footer="0.34"/>
  <pageSetup paperSize="9" scale="6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6"/>
  <sheetViews>
    <sheetView workbookViewId="0">
      <selection activeCell="B6" sqref="B6"/>
    </sheetView>
  </sheetViews>
  <sheetFormatPr defaultColWidth="8.8984375" defaultRowHeight="14.4"/>
  <cols>
    <col min="1" max="1" width="10.59765625" style="1" customWidth="1"/>
    <col min="2" max="2" width="8.8984375" style="1" customWidth="1"/>
    <col min="3" max="3" width="15.69921875" style="1" customWidth="1"/>
    <col min="4" max="4" width="29.796875" style="1" customWidth="1"/>
    <col min="5" max="5" width="10.09765625" style="1" customWidth="1"/>
    <col min="6" max="6" width="5.296875" style="1" customWidth="1"/>
    <col min="7" max="7" width="11.5" style="1" customWidth="1"/>
    <col min="8" max="8" width="9.09765625" style="1" customWidth="1"/>
    <col min="9" max="9" width="22.3984375" style="1" customWidth="1"/>
    <col min="10" max="16384" width="8.8984375" style="1"/>
  </cols>
  <sheetData>
    <row r="1" spans="1:9" s="4" customFormat="1" ht="6" customHeight="1">
      <c r="A1" s="2"/>
      <c r="B1" s="3"/>
      <c r="C1" s="3"/>
      <c r="D1" s="3"/>
      <c r="E1" s="3"/>
      <c r="F1" s="3"/>
      <c r="G1" s="3"/>
    </row>
    <row r="2" spans="1:9" s="4" customFormat="1" ht="27.75" customHeight="1">
      <c r="A2" s="154" t="s">
        <v>3</v>
      </c>
      <c r="B2" s="154"/>
      <c r="C2" s="154"/>
      <c r="D2" s="154"/>
      <c r="E2" s="154"/>
      <c r="F2" s="154"/>
      <c r="G2" s="154"/>
      <c r="H2" s="155"/>
      <c r="I2" s="155"/>
    </row>
    <row r="3" spans="1:9" s="4" customFormat="1" ht="9" customHeight="1">
      <c r="A3" s="9"/>
      <c r="B3" s="10"/>
      <c r="C3" s="10"/>
      <c r="D3" s="11"/>
      <c r="E3" s="11"/>
      <c r="F3" s="11"/>
      <c r="G3" s="11"/>
    </row>
    <row r="4" spans="1:9" s="5" customFormat="1" ht="27" customHeight="1">
      <c r="A4" s="18" t="s">
        <v>4</v>
      </c>
      <c r="B4" s="20" t="s">
        <v>130</v>
      </c>
      <c r="C4" s="19"/>
      <c r="D4" s="23"/>
      <c r="E4" s="61" t="s">
        <v>10</v>
      </c>
      <c r="F4" s="62"/>
      <c r="G4" s="62"/>
      <c r="H4" s="62"/>
      <c r="I4" s="63"/>
    </row>
    <row r="5" spans="1:9" s="5" customFormat="1" ht="27" customHeight="1">
      <c r="A5" s="18" t="s">
        <v>5</v>
      </c>
      <c r="B5" s="20" t="s">
        <v>126</v>
      </c>
      <c r="C5" s="19"/>
      <c r="D5" s="24"/>
      <c r="E5" s="64" t="s">
        <v>124</v>
      </c>
      <c r="F5" s="65"/>
      <c r="G5" s="65"/>
      <c r="H5" s="65"/>
      <c r="I5" s="66"/>
    </row>
    <row r="6" spans="1:9" s="5" customFormat="1" ht="23.25" customHeight="1">
      <c r="A6" s="18" t="s">
        <v>6</v>
      </c>
      <c r="B6" s="20" t="s">
        <v>132</v>
      </c>
      <c r="C6" s="19"/>
      <c r="D6" s="24"/>
      <c r="E6" s="64" t="s">
        <v>11</v>
      </c>
      <c r="F6" s="65"/>
      <c r="G6" s="65"/>
      <c r="H6" s="65"/>
      <c r="I6" s="66"/>
    </row>
    <row r="7" spans="1:9" s="5" customFormat="1" ht="23.25" customHeight="1">
      <c r="A7" s="18" t="s">
        <v>7</v>
      </c>
      <c r="B7" s="20" t="s">
        <v>131</v>
      </c>
      <c r="C7" s="19"/>
      <c r="D7" s="24"/>
      <c r="E7" s="67" t="s">
        <v>12</v>
      </c>
      <c r="F7" s="68"/>
      <c r="G7" s="68"/>
      <c r="H7" s="68"/>
      <c r="I7" s="69"/>
    </row>
    <row r="8" spans="1:9" s="5" customFormat="1" ht="8.25" customHeight="1">
      <c r="A8" s="14"/>
      <c r="B8" s="15"/>
      <c r="C8" s="16"/>
      <c r="D8" s="13"/>
      <c r="E8" s="13"/>
      <c r="F8" s="14"/>
      <c r="G8" s="13"/>
    </row>
    <row r="9" spans="1:9" s="5" customFormat="1" ht="20.100000000000001" customHeight="1">
      <c r="A9" s="21" t="s">
        <v>8</v>
      </c>
      <c r="B9" s="156" t="s">
        <v>145</v>
      </c>
      <c r="C9" s="157"/>
      <c r="D9" s="157"/>
      <c r="E9" s="157"/>
      <c r="F9" s="157"/>
      <c r="G9" s="157"/>
      <c r="H9" s="157"/>
      <c r="I9" s="158"/>
    </row>
    <row r="10" spans="1:9" s="5" customFormat="1" ht="20.100000000000001" customHeight="1">
      <c r="A10" s="21" t="s">
        <v>13</v>
      </c>
      <c r="B10" s="156" t="s">
        <v>146</v>
      </c>
      <c r="C10" s="159"/>
      <c r="D10" s="159"/>
      <c r="E10" s="159"/>
      <c r="F10" s="159"/>
      <c r="G10" s="159"/>
      <c r="H10" s="159"/>
      <c r="I10" s="160"/>
    </row>
    <row r="11" spans="1:9" s="5" customFormat="1" ht="20.100000000000001" customHeight="1">
      <c r="A11" s="22" t="s">
        <v>0</v>
      </c>
      <c r="B11" s="161" t="str">
        <f>TEXT(G24," 일금[DBNum4][$-412]G/표준원정") &amp; " (" &amp; DOLLAR(G24) &amp; " 부가세별도)"</f>
        <v xml:space="preserve"> 일금칠백구십이만칠천오백원정 (₩7,927,500 부가세별도)</v>
      </c>
      <c r="C11" s="162"/>
      <c r="D11" s="162"/>
      <c r="E11" s="162"/>
      <c r="F11" s="162"/>
      <c r="G11" s="162"/>
      <c r="H11" s="162"/>
      <c r="I11" s="163"/>
    </row>
    <row r="12" spans="1:9" s="6" customFormat="1" ht="20.25" customHeight="1">
      <c r="A12" s="25" t="s">
        <v>2</v>
      </c>
      <c r="B12" s="16"/>
      <c r="C12" s="16"/>
      <c r="D12" s="56"/>
      <c r="E12" s="56"/>
      <c r="F12" s="12"/>
      <c r="G12" s="57"/>
      <c r="I12" s="57" t="s">
        <v>1</v>
      </c>
    </row>
    <row r="13" spans="1:9" s="7" customFormat="1" ht="28.5" customHeight="1" thickBot="1">
      <c r="A13" s="72" t="s">
        <v>31</v>
      </c>
      <c r="B13" s="84" t="s">
        <v>32</v>
      </c>
      <c r="C13" s="84" t="s">
        <v>33</v>
      </c>
      <c r="D13" s="84" t="s">
        <v>34</v>
      </c>
      <c r="E13" s="85" t="s">
        <v>35</v>
      </c>
      <c r="F13" s="73" t="s">
        <v>141</v>
      </c>
      <c r="G13" s="74" t="s">
        <v>140</v>
      </c>
      <c r="H13" s="74" t="s">
        <v>139</v>
      </c>
      <c r="I13" s="74" t="s">
        <v>38</v>
      </c>
    </row>
    <row r="14" spans="1:9" s="7" customFormat="1" ht="19.5" customHeight="1">
      <c r="A14" s="140" t="s">
        <v>137</v>
      </c>
      <c r="B14" s="174" t="s">
        <v>39</v>
      </c>
      <c r="C14" s="176" t="s">
        <v>67</v>
      </c>
      <c r="D14" s="89" t="s">
        <v>68</v>
      </c>
      <c r="E14" s="90">
        <v>30000000</v>
      </c>
      <c r="F14" s="209">
        <v>0.1</v>
      </c>
      <c r="G14" s="200">
        <f>SUM(E14:E19)*F14/12*3</f>
        <v>7537500</v>
      </c>
      <c r="H14" s="202">
        <f>G14/3</f>
        <v>2512500</v>
      </c>
      <c r="I14" s="133" t="s">
        <v>147</v>
      </c>
    </row>
    <row r="15" spans="1:9" s="7" customFormat="1" ht="19.5" customHeight="1">
      <c r="A15" s="205"/>
      <c r="B15" s="207"/>
      <c r="C15" s="208"/>
      <c r="D15" s="75" t="s">
        <v>71</v>
      </c>
      <c r="E15" s="91">
        <v>161100000</v>
      </c>
      <c r="F15" s="210"/>
      <c r="G15" s="214"/>
      <c r="H15" s="216"/>
      <c r="I15" s="134"/>
    </row>
    <row r="16" spans="1:9" s="7" customFormat="1" ht="19.5" customHeight="1" thickBot="1">
      <c r="A16" s="205"/>
      <c r="B16" s="175"/>
      <c r="C16" s="92" t="s">
        <v>69</v>
      </c>
      <c r="D16" s="93" t="s">
        <v>70</v>
      </c>
      <c r="E16" s="94">
        <v>12000000</v>
      </c>
      <c r="F16" s="211"/>
      <c r="G16" s="201"/>
      <c r="H16" s="203"/>
      <c r="I16" s="134"/>
    </row>
    <row r="17" spans="1:9" s="7" customFormat="1" ht="19.5" customHeight="1">
      <c r="A17" s="141"/>
      <c r="B17" s="135" t="s">
        <v>48</v>
      </c>
      <c r="C17" s="86" t="s">
        <v>20</v>
      </c>
      <c r="D17" s="87" t="s">
        <v>72</v>
      </c>
      <c r="E17" s="88">
        <v>34800000</v>
      </c>
      <c r="F17" s="212"/>
      <c r="G17" s="201"/>
      <c r="H17" s="203"/>
      <c r="I17" s="134"/>
    </row>
    <row r="18" spans="1:9" s="7" customFormat="1" ht="19.5" customHeight="1">
      <c r="A18" s="141"/>
      <c r="B18" s="136"/>
      <c r="C18" s="78" t="s">
        <v>21</v>
      </c>
      <c r="D18" s="75" t="s">
        <v>73</v>
      </c>
      <c r="E18" s="80">
        <v>39600000</v>
      </c>
      <c r="F18" s="212"/>
      <c r="G18" s="201"/>
      <c r="H18" s="203"/>
      <c r="I18" s="134"/>
    </row>
    <row r="19" spans="1:9" s="7" customFormat="1" ht="26.25" customHeight="1" thickBot="1">
      <c r="A19" s="206"/>
      <c r="B19" s="120" t="s">
        <v>44</v>
      </c>
      <c r="C19" s="121" t="s">
        <v>47</v>
      </c>
      <c r="D19" s="122" t="s">
        <v>74</v>
      </c>
      <c r="E19" s="123">
        <v>24000000</v>
      </c>
      <c r="F19" s="213"/>
      <c r="G19" s="215"/>
      <c r="H19" s="217"/>
      <c r="I19" s="218"/>
    </row>
    <row r="20" spans="1:9" s="7" customFormat="1" ht="24.6" customHeight="1" thickTop="1" thickBot="1">
      <c r="A20" s="168" t="s">
        <v>144</v>
      </c>
      <c r="B20" s="117" t="s">
        <v>39</v>
      </c>
      <c r="C20" s="118" t="s">
        <v>82</v>
      </c>
      <c r="D20" s="119" t="s">
        <v>84</v>
      </c>
      <c r="E20" s="169">
        <f>20000000/250*150</f>
        <v>12000000</v>
      </c>
      <c r="F20" s="172">
        <v>0.1</v>
      </c>
      <c r="G20" s="181">
        <f>E20*F20/12*3</f>
        <v>300000</v>
      </c>
      <c r="H20" s="181">
        <f>G20/3</f>
        <v>100000</v>
      </c>
      <c r="I20" s="134" t="s">
        <v>143</v>
      </c>
    </row>
    <row r="21" spans="1:9" s="7" customFormat="1" ht="21" customHeight="1">
      <c r="A21" s="141"/>
      <c r="B21" s="135" t="s">
        <v>48</v>
      </c>
      <c r="C21" s="86" t="s">
        <v>20</v>
      </c>
      <c r="D21" s="87" t="s">
        <v>72</v>
      </c>
      <c r="E21" s="143"/>
      <c r="F21" s="146"/>
      <c r="G21" s="148"/>
      <c r="H21" s="148"/>
      <c r="I21" s="134"/>
    </row>
    <row r="22" spans="1:9" s="7" customFormat="1" ht="21" customHeight="1">
      <c r="A22" s="141"/>
      <c r="B22" s="136"/>
      <c r="C22" s="78" t="s">
        <v>21</v>
      </c>
      <c r="D22" s="75" t="s">
        <v>73</v>
      </c>
      <c r="E22" s="144"/>
      <c r="F22" s="146"/>
      <c r="G22" s="148"/>
      <c r="H22" s="148"/>
      <c r="I22" s="134"/>
    </row>
    <row r="23" spans="1:9" s="7" customFormat="1" ht="21" customHeight="1" thickBot="1">
      <c r="A23" s="141"/>
      <c r="B23" s="100" t="s">
        <v>44</v>
      </c>
      <c r="C23" s="107" t="s">
        <v>47</v>
      </c>
      <c r="D23" s="75" t="s">
        <v>80</v>
      </c>
      <c r="E23" s="80">
        <f>5000000/250*150</f>
        <v>3000000</v>
      </c>
      <c r="F23" s="109">
        <v>0.12</v>
      </c>
      <c r="G23" s="81">
        <f>E23*F23/12*3</f>
        <v>90000</v>
      </c>
      <c r="H23" s="81">
        <f>G23/3</f>
        <v>30000</v>
      </c>
      <c r="I23" s="134"/>
    </row>
    <row r="24" spans="1:9" s="7" customFormat="1" ht="25.8" customHeight="1" thickTop="1" thickBot="1">
      <c r="A24" s="197" t="s">
        <v>121</v>
      </c>
      <c r="B24" s="198"/>
      <c r="C24" s="198"/>
      <c r="D24" s="198"/>
      <c r="E24" s="198"/>
      <c r="F24" s="199"/>
      <c r="G24" s="104">
        <f>SUM(G14:G23)</f>
        <v>7927500</v>
      </c>
      <c r="H24" s="104">
        <f>SUM(H14:H23)</f>
        <v>2642500</v>
      </c>
      <c r="I24" s="105"/>
    </row>
    <row r="25" spans="1:9" s="6" customFormat="1" ht="23.4" hidden="1" customHeight="1" thickTop="1">
      <c r="A25" s="17"/>
      <c r="B25" s="16"/>
      <c r="C25" s="16"/>
      <c r="D25" s="16"/>
      <c r="E25" s="12"/>
      <c r="F25" s="12"/>
      <c r="G25" s="60"/>
    </row>
    <row r="26" spans="1:9" s="6" customFormat="1" ht="20.25" hidden="1" customHeight="1">
      <c r="A26" s="25" t="s">
        <v>125</v>
      </c>
      <c r="B26" s="16"/>
      <c r="C26" s="16"/>
      <c r="D26" s="56"/>
      <c r="E26" s="56"/>
      <c r="F26" s="12"/>
      <c r="G26" s="57"/>
      <c r="I26" s="57" t="s">
        <v>1</v>
      </c>
    </row>
    <row r="27" spans="1:9" s="7" customFormat="1" ht="28.5" hidden="1" customHeight="1" thickBot="1">
      <c r="A27" s="72" t="s">
        <v>31</v>
      </c>
      <c r="B27" s="84" t="s">
        <v>32</v>
      </c>
      <c r="C27" s="84" t="s">
        <v>33</v>
      </c>
      <c r="D27" s="84" t="s">
        <v>34</v>
      </c>
      <c r="E27" s="85" t="s">
        <v>35</v>
      </c>
      <c r="F27" s="73" t="s">
        <v>45</v>
      </c>
      <c r="G27" s="74" t="s">
        <v>36</v>
      </c>
      <c r="H27" s="74" t="s">
        <v>37</v>
      </c>
      <c r="I27" s="74" t="s">
        <v>38</v>
      </c>
    </row>
    <row r="28" spans="1:9" s="7" customFormat="1" ht="24.6" hidden="1" customHeight="1" thickBot="1">
      <c r="A28" s="140" t="s">
        <v>122</v>
      </c>
      <c r="B28" s="95" t="s">
        <v>39</v>
      </c>
      <c r="C28" s="96" t="s">
        <v>67</v>
      </c>
      <c r="D28" s="97" t="s">
        <v>71</v>
      </c>
      <c r="E28" s="142">
        <v>43000000</v>
      </c>
      <c r="F28" s="145">
        <v>0.1</v>
      </c>
      <c r="G28" s="147">
        <f>E28*F28</f>
        <v>4300000</v>
      </c>
      <c r="H28" s="147">
        <f>G28/12</f>
        <v>358333.33333333331</v>
      </c>
      <c r="I28" s="133" t="s">
        <v>127</v>
      </c>
    </row>
    <row r="29" spans="1:9" s="7" customFormat="1" ht="21" hidden="1" customHeight="1">
      <c r="A29" s="141"/>
      <c r="B29" s="135" t="s">
        <v>48</v>
      </c>
      <c r="C29" s="86" t="s">
        <v>20</v>
      </c>
      <c r="D29" s="87" t="s">
        <v>72</v>
      </c>
      <c r="E29" s="143"/>
      <c r="F29" s="146"/>
      <c r="G29" s="148"/>
      <c r="H29" s="148"/>
      <c r="I29" s="134"/>
    </row>
    <row r="30" spans="1:9" s="7" customFormat="1" ht="21" hidden="1" customHeight="1">
      <c r="A30" s="141"/>
      <c r="B30" s="136"/>
      <c r="C30" s="78" t="s">
        <v>21</v>
      </c>
      <c r="D30" s="75" t="s">
        <v>73</v>
      </c>
      <c r="E30" s="144"/>
      <c r="F30" s="146"/>
      <c r="G30" s="148"/>
      <c r="H30" s="148"/>
      <c r="I30" s="134"/>
    </row>
    <row r="31" spans="1:9" s="7" customFormat="1" ht="20.25" hidden="1" customHeight="1">
      <c r="A31" s="137" t="s">
        <v>123</v>
      </c>
      <c r="B31" s="138"/>
      <c r="C31" s="138"/>
      <c r="D31" s="138"/>
      <c r="E31" s="138"/>
      <c r="F31" s="139"/>
      <c r="G31" s="76">
        <f>SUM(G28:G30)</f>
        <v>4300000</v>
      </c>
      <c r="H31" s="76">
        <f>G31/12</f>
        <v>358333.33333333331</v>
      </c>
      <c r="I31" s="82"/>
    </row>
    <row r="32" spans="1:9" s="6" customFormat="1" ht="9.75" customHeight="1" thickTop="1">
      <c r="A32" s="17"/>
      <c r="B32" s="16"/>
      <c r="C32" s="16"/>
      <c r="D32" s="16"/>
      <c r="E32" s="12"/>
      <c r="F32" s="12"/>
      <c r="G32" s="60"/>
    </row>
    <row r="33" spans="1:9" s="5" customFormat="1" ht="18" hidden="1" customHeight="1">
      <c r="A33" s="26" t="s">
        <v>57</v>
      </c>
      <c r="B33" s="150" t="s">
        <v>59</v>
      </c>
      <c r="C33" s="151"/>
      <c r="D33" s="151"/>
      <c r="E33" s="151"/>
      <c r="F33" s="151"/>
      <c r="G33" s="151"/>
      <c r="H33" s="152"/>
      <c r="I33" s="153"/>
    </row>
    <row r="34" spans="1:9" s="5" customFormat="1" ht="18" hidden="1" customHeight="1">
      <c r="A34" s="27" t="s">
        <v>64</v>
      </c>
      <c r="B34" s="149" t="s">
        <v>62</v>
      </c>
      <c r="C34" s="130"/>
      <c r="D34" s="130"/>
      <c r="E34" s="130"/>
      <c r="F34" s="130"/>
      <c r="G34" s="130"/>
      <c r="H34" s="131"/>
      <c r="I34" s="132"/>
    </row>
    <row r="35" spans="1:9" s="5" customFormat="1" ht="18" hidden="1" customHeight="1">
      <c r="A35" s="27" t="s">
        <v>65</v>
      </c>
      <c r="B35" s="149" t="s">
        <v>63</v>
      </c>
      <c r="C35" s="130"/>
      <c r="D35" s="130"/>
      <c r="E35" s="130"/>
      <c r="F35" s="130"/>
      <c r="G35" s="130"/>
      <c r="H35" s="131"/>
      <c r="I35" s="132"/>
    </row>
    <row r="36" spans="1:9" s="5" customFormat="1" ht="18" hidden="1" customHeight="1">
      <c r="A36" s="27" t="s">
        <v>58</v>
      </c>
      <c r="B36" s="149" t="s">
        <v>60</v>
      </c>
      <c r="C36" s="130"/>
      <c r="D36" s="130"/>
      <c r="E36" s="130"/>
      <c r="F36" s="130"/>
      <c r="G36" s="130"/>
      <c r="H36" s="131"/>
      <c r="I36" s="132"/>
    </row>
    <row r="37" spans="1:9" s="5" customFormat="1" ht="18" hidden="1" customHeight="1">
      <c r="A37" s="27"/>
      <c r="B37" s="129" t="s">
        <v>66</v>
      </c>
      <c r="C37" s="130"/>
      <c r="D37" s="130"/>
      <c r="E37" s="130"/>
      <c r="F37" s="130"/>
      <c r="G37" s="130"/>
      <c r="H37" s="131"/>
      <c r="I37" s="132"/>
    </row>
    <row r="38" spans="1:9" s="5" customFormat="1" ht="18" hidden="1" customHeight="1">
      <c r="A38" s="27"/>
      <c r="B38" s="129" t="s">
        <v>56</v>
      </c>
      <c r="C38" s="130"/>
      <c r="D38" s="130"/>
      <c r="E38" s="130"/>
      <c r="F38" s="130"/>
      <c r="G38" s="130"/>
      <c r="H38" s="131"/>
      <c r="I38" s="132"/>
    </row>
    <row r="39" spans="1:9" s="5" customFormat="1" ht="18" hidden="1" customHeight="1">
      <c r="A39" s="27"/>
      <c r="B39" s="129" t="s">
        <v>55</v>
      </c>
      <c r="C39" s="130"/>
      <c r="D39" s="130"/>
      <c r="E39" s="130"/>
      <c r="F39" s="130"/>
      <c r="G39" s="130"/>
      <c r="H39" s="131"/>
      <c r="I39" s="132"/>
    </row>
    <row r="40" spans="1:9" s="5" customFormat="1" ht="18" hidden="1" customHeight="1">
      <c r="A40" s="27"/>
      <c r="B40" s="129" t="s">
        <v>61</v>
      </c>
      <c r="C40" s="130"/>
      <c r="D40" s="130"/>
      <c r="E40" s="130"/>
      <c r="F40" s="130"/>
      <c r="G40" s="130"/>
      <c r="H40" s="131"/>
      <c r="I40" s="132"/>
    </row>
    <row r="41" spans="1:9" s="5" customFormat="1" ht="18" hidden="1" customHeight="1">
      <c r="A41" s="27"/>
      <c r="B41" s="129" t="s">
        <v>52</v>
      </c>
      <c r="C41" s="130"/>
      <c r="D41" s="130"/>
      <c r="E41" s="130"/>
      <c r="F41" s="130"/>
      <c r="G41" s="130"/>
      <c r="H41" s="131"/>
      <c r="I41" s="132"/>
    </row>
    <row r="42" spans="1:9" s="5" customFormat="1" ht="18" hidden="1" customHeight="1">
      <c r="A42" s="27"/>
      <c r="B42" s="129" t="s">
        <v>53</v>
      </c>
      <c r="C42" s="130"/>
      <c r="D42" s="130"/>
      <c r="E42" s="130"/>
      <c r="F42" s="130"/>
      <c r="G42" s="130"/>
      <c r="H42" s="131"/>
      <c r="I42" s="132"/>
    </row>
    <row r="43" spans="1:9" s="5" customFormat="1" ht="18" hidden="1" customHeight="1">
      <c r="A43" s="27"/>
      <c r="B43" s="129" t="s">
        <v>54</v>
      </c>
      <c r="C43" s="130"/>
      <c r="D43" s="130"/>
      <c r="E43" s="130"/>
      <c r="F43" s="130"/>
      <c r="G43" s="130"/>
      <c r="H43" s="131"/>
      <c r="I43" s="132"/>
    </row>
    <row r="44" spans="1:9" s="5" customFormat="1" ht="18" hidden="1" customHeight="1">
      <c r="A44" s="27"/>
      <c r="B44" s="193"/>
      <c r="C44" s="194"/>
      <c r="D44" s="194"/>
      <c r="E44" s="194"/>
      <c r="F44" s="194"/>
      <c r="G44" s="194"/>
      <c r="H44" s="195"/>
      <c r="I44" s="196"/>
    </row>
    <row r="45" spans="1:9" s="5" customFormat="1" ht="18" customHeight="1">
      <c r="A45" s="110" t="s">
        <v>22</v>
      </c>
      <c r="B45" s="189" t="s">
        <v>23</v>
      </c>
      <c r="C45" s="190"/>
      <c r="D45" s="190"/>
      <c r="E45" s="190"/>
      <c r="F45" s="190"/>
      <c r="G45" s="190"/>
      <c r="H45" s="191"/>
      <c r="I45" s="192"/>
    </row>
    <row r="46" spans="1:9" s="5" customFormat="1" ht="18" customHeight="1">
      <c r="A46" s="111"/>
      <c r="B46" s="164" t="s">
        <v>24</v>
      </c>
      <c r="C46" s="165"/>
      <c r="D46" s="165"/>
      <c r="E46" s="165"/>
      <c r="F46" s="165"/>
      <c r="G46" s="165"/>
      <c r="H46" s="166"/>
      <c r="I46" s="167"/>
    </row>
    <row r="47" spans="1:9" s="5" customFormat="1" ht="18" customHeight="1">
      <c r="A47" s="111"/>
      <c r="B47" s="164" t="s">
        <v>25</v>
      </c>
      <c r="C47" s="165"/>
      <c r="D47" s="165"/>
      <c r="E47" s="165"/>
      <c r="F47" s="165"/>
      <c r="G47" s="165"/>
      <c r="H47" s="166"/>
      <c r="I47" s="167"/>
    </row>
    <row r="48" spans="1:9" s="5" customFormat="1" ht="18" customHeight="1">
      <c r="A48" s="111"/>
      <c r="B48" s="164" t="s">
        <v>26</v>
      </c>
      <c r="C48" s="165"/>
      <c r="D48" s="165"/>
      <c r="E48" s="165"/>
      <c r="F48" s="165"/>
      <c r="G48" s="165"/>
      <c r="H48" s="166"/>
      <c r="I48" s="167"/>
    </row>
    <row r="49" spans="1:9" s="5" customFormat="1" ht="18" customHeight="1">
      <c r="A49" s="111"/>
      <c r="B49" s="164" t="s">
        <v>50</v>
      </c>
      <c r="C49" s="165"/>
      <c r="D49" s="165"/>
      <c r="E49" s="165"/>
      <c r="F49" s="165"/>
      <c r="G49" s="165"/>
      <c r="H49" s="166"/>
      <c r="I49" s="167"/>
    </row>
    <row r="50" spans="1:9" s="5" customFormat="1" ht="18" customHeight="1">
      <c r="A50" s="111"/>
      <c r="B50" s="164" t="s">
        <v>51</v>
      </c>
      <c r="C50" s="165"/>
      <c r="D50" s="165"/>
      <c r="E50" s="165"/>
      <c r="F50" s="165"/>
      <c r="G50" s="165"/>
      <c r="H50" s="166"/>
      <c r="I50" s="167"/>
    </row>
    <row r="51" spans="1:9" s="5" customFormat="1" ht="18" customHeight="1">
      <c r="A51" s="111"/>
      <c r="B51" s="164" t="s">
        <v>27</v>
      </c>
      <c r="C51" s="165"/>
      <c r="D51" s="165"/>
      <c r="E51" s="165"/>
      <c r="F51" s="165"/>
      <c r="G51" s="165"/>
      <c r="H51" s="166"/>
      <c r="I51" s="167"/>
    </row>
    <row r="52" spans="1:9" s="5" customFormat="1" ht="18" customHeight="1">
      <c r="A52" s="111"/>
      <c r="B52" s="164" t="s">
        <v>28</v>
      </c>
      <c r="C52" s="165"/>
      <c r="D52" s="165"/>
      <c r="E52" s="165"/>
      <c r="F52" s="165"/>
      <c r="G52" s="165"/>
      <c r="H52" s="166"/>
      <c r="I52" s="167"/>
    </row>
    <row r="53" spans="1:9" s="5" customFormat="1" ht="18" customHeight="1">
      <c r="A53" s="110" t="s">
        <v>29</v>
      </c>
      <c r="B53" s="189" t="s">
        <v>128</v>
      </c>
      <c r="C53" s="190"/>
      <c r="D53" s="190"/>
      <c r="E53" s="190"/>
      <c r="F53" s="190"/>
      <c r="G53" s="190"/>
      <c r="H53" s="191"/>
      <c r="I53" s="192"/>
    </row>
    <row r="54" spans="1:9" s="5" customFormat="1" ht="18" customHeight="1">
      <c r="A54" s="111"/>
      <c r="B54" s="164" t="s">
        <v>46</v>
      </c>
      <c r="C54" s="165"/>
      <c r="D54" s="165"/>
      <c r="E54" s="165"/>
      <c r="F54" s="165"/>
      <c r="G54" s="165"/>
      <c r="H54" s="166"/>
      <c r="I54" s="167"/>
    </row>
    <row r="55" spans="1:9" s="5" customFormat="1" ht="18" customHeight="1">
      <c r="A55" s="111"/>
      <c r="B55" s="164" t="s">
        <v>40</v>
      </c>
      <c r="C55" s="165"/>
      <c r="D55" s="165"/>
      <c r="E55" s="165"/>
      <c r="F55" s="165"/>
      <c r="G55" s="165"/>
      <c r="H55" s="166"/>
      <c r="I55" s="167"/>
    </row>
    <row r="56" spans="1:9" s="5" customFormat="1" ht="18" customHeight="1">
      <c r="A56" s="111"/>
      <c r="B56" s="164" t="s">
        <v>41</v>
      </c>
      <c r="C56" s="165"/>
      <c r="D56" s="165"/>
      <c r="E56" s="165"/>
      <c r="F56" s="165"/>
      <c r="G56" s="165"/>
      <c r="H56" s="166"/>
      <c r="I56" s="167"/>
    </row>
    <row r="57" spans="1:9" s="5" customFormat="1" ht="18" hidden="1" customHeight="1">
      <c r="A57" s="111"/>
      <c r="B57" s="164" t="s">
        <v>42</v>
      </c>
      <c r="C57" s="165"/>
      <c r="D57" s="165"/>
      <c r="E57" s="165"/>
      <c r="F57" s="165"/>
      <c r="G57" s="165"/>
      <c r="H57" s="166"/>
      <c r="I57" s="167"/>
    </row>
    <row r="58" spans="1:9" s="8" customFormat="1" ht="18" customHeight="1">
      <c r="A58" s="103" t="s">
        <v>30</v>
      </c>
      <c r="B58" s="185" t="s">
        <v>43</v>
      </c>
      <c r="C58" s="186"/>
      <c r="D58" s="186"/>
      <c r="E58" s="186"/>
      <c r="F58" s="186"/>
      <c r="G58" s="186"/>
      <c r="H58" s="187"/>
      <c r="I58" s="188"/>
    </row>
    <row r="59" spans="1:9" s="6" customFormat="1" ht="13.5" customHeight="1">
      <c r="A59" s="17"/>
      <c r="B59" s="16"/>
      <c r="C59" s="16"/>
      <c r="D59" s="56"/>
      <c r="E59" s="56"/>
      <c r="F59" s="12"/>
      <c r="G59" s="60"/>
    </row>
    <row r="60" spans="1:9" customFormat="1" ht="15.9" customHeight="1"/>
    <row r="61" spans="1:9" s="4" customFormat="1"/>
    <row r="62" spans="1:9" s="4" customFormat="1"/>
    <row r="63" spans="1:9" s="4" customFormat="1"/>
    <row r="64" spans="1:9" s="4" customFormat="1"/>
    <row r="65" s="4" customFormat="1"/>
    <row r="66" s="4" customFormat="1"/>
  </sheetData>
  <mergeCells count="54">
    <mergeCell ref="B56:I56"/>
    <mergeCell ref="B57:I57"/>
    <mergeCell ref="B58:I58"/>
    <mergeCell ref="B50:I50"/>
    <mergeCell ref="B51:I51"/>
    <mergeCell ref="B52:I52"/>
    <mergeCell ref="B53:I53"/>
    <mergeCell ref="B54:I54"/>
    <mergeCell ref="B55:I55"/>
    <mergeCell ref="B49:I49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  <mergeCell ref="B37:I37"/>
    <mergeCell ref="A28:A30"/>
    <mergeCell ref="E28:E30"/>
    <mergeCell ref="F28:F30"/>
    <mergeCell ref="G28:G30"/>
    <mergeCell ref="H28:H30"/>
    <mergeCell ref="I28:I30"/>
    <mergeCell ref="B29:B30"/>
    <mergeCell ref="A31:F31"/>
    <mergeCell ref="B33:I33"/>
    <mergeCell ref="B34:I34"/>
    <mergeCell ref="B35:I35"/>
    <mergeCell ref="B36:I36"/>
    <mergeCell ref="A24:F24"/>
    <mergeCell ref="A20:A23"/>
    <mergeCell ref="E20:E22"/>
    <mergeCell ref="F20:F22"/>
    <mergeCell ref="G20:G22"/>
    <mergeCell ref="H20:H22"/>
    <mergeCell ref="I20:I23"/>
    <mergeCell ref="B21:B22"/>
    <mergeCell ref="I14:I19"/>
    <mergeCell ref="B17:B18"/>
    <mergeCell ref="A2:I2"/>
    <mergeCell ref="B9:I9"/>
    <mergeCell ref="B10:I10"/>
    <mergeCell ref="B11:I11"/>
    <mergeCell ref="A14:A19"/>
    <mergeCell ref="B14:B16"/>
    <mergeCell ref="C14:C15"/>
    <mergeCell ref="F14:F19"/>
    <mergeCell ref="G14:G19"/>
    <mergeCell ref="H14:H19"/>
  </mergeCells>
  <phoneticPr fontId="3" type="noConversion"/>
  <dataValidations count="1">
    <dataValidation allowBlank="1" showInputMessage="1" showErrorMessage="1" promptTitle="견적금액 표시" prompt="공급금액 합계(VAT별도)를 견적금액(VAT별도) 한글로 자동변환 표시" sqref="B11:F11 B9:B10"/>
  </dataValidations>
  <pageMargins left="0.31" right="0.24" top="0.38" bottom="0.43" header="0.3" footer="0.34"/>
  <pageSetup paperSize="9" scale="69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27"/>
  <sheetViews>
    <sheetView tabSelected="1" zoomScaleNormal="100" workbookViewId="0">
      <selection activeCell="I17" sqref="I17"/>
    </sheetView>
  </sheetViews>
  <sheetFormatPr defaultColWidth="8.8984375" defaultRowHeight="14.4"/>
  <cols>
    <col min="1" max="1" width="0.796875" style="1" customWidth="1"/>
    <col min="2" max="2" width="9.8984375" style="1" customWidth="1"/>
    <col min="3" max="3" width="11" style="1" customWidth="1"/>
    <col min="4" max="4" width="31.09765625" style="29" customWidth="1"/>
    <col min="5" max="5" width="9.09765625" style="1" customWidth="1"/>
    <col min="6" max="6" width="19.8984375" style="1" customWidth="1"/>
    <col min="7" max="16384" width="8.8984375" style="1"/>
  </cols>
  <sheetData>
    <row r="1" spans="2:9" s="4" customFormat="1" ht="33.75" customHeight="1">
      <c r="B1" s="58" t="s">
        <v>85</v>
      </c>
      <c r="C1" s="53"/>
      <c r="D1" s="54"/>
      <c r="E1" s="53"/>
      <c r="F1" s="53"/>
    </row>
    <row r="2" spans="2:9" s="4" customFormat="1" ht="29.25" customHeight="1">
      <c r="B2" s="30" t="s">
        <v>86</v>
      </c>
      <c r="C2" s="31"/>
      <c r="D2" s="32"/>
      <c r="E2" s="33"/>
      <c r="F2" s="33"/>
    </row>
    <row r="3" spans="2:9" s="4" customFormat="1" ht="16.5" customHeight="1" thickBot="1">
      <c r="B3" s="34"/>
      <c r="C3" s="35"/>
      <c r="D3" s="36"/>
      <c r="E3" s="37"/>
      <c r="F3" s="37"/>
    </row>
    <row r="4" spans="2:9" s="59" customFormat="1" ht="27" customHeight="1">
      <c r="B4" s="38" t="s">
        <v>87</v>
      </c>
      <c r="C4" s="39" t="s">
        <v>14</v>
      </c>
      <c r="D4" s="40" t="s">
        <v>88</v>
      </c>
      <c r="E4" s="77" t="s">
        <v>89</v>
      </c>
      <c r="F4" s="41" t="s">
        <v>90</v>
      </c>
    </row>
    <row r="5" spans="2:9" s="59" customFormat="1" ht="48" customHeight="1">
      <c r="B5" s="222" t="s">
        <v>91</v>
      </c>
      <c r="C5" s="236" t="s">
        <v>92</v>
      </c>
      <c r="D5" s="45" t="s">
        <v>93</v>
      </c>
      <c r="E5" s="224" t="s">
        <v>94</v>
      </c>
      <c r="F5" s="226" t="s">
        <v>15</v>
      </c>
    </row>
    <row r="6" spans="2:9" s="59" customFormat="1" ht="35.25" customHeight="1">
      <c r="B6" s="223"/>
      <c r="C6" s="237"/>
      <c r="D6" s="45" t="s">
        <v>95</v>
      </c>
      <c r="E6" s="225"/>
      <c r="F6" s="227"/>
    </row>
    <row r="7" spans="2:9" s="59" customFormat="1" ht="57" customHeight="1">
      <c r="B7" s="228" t="s">
        <v>96</v>
      </c>
      <c r="C7" s="44" t="s">
        <v>16</v>
      </c>
      <c r="D7" s="45" t="s">
        <v>97</v>
      </c>
      <c r="E7" s="229" t="s">
        <v>98</v>
      </c>
      <c r="F7" s="226" t="s">
        <v>99</v>
      </c>
    </row>
    <row r="8" spans="2:9" s="59" customFormat="1" ht="24" customHeight="1">
      <c r="B8" s="228"/>
      <c r="C8" s="44" t="s">
        <v>100</v>
      </c>
      <c r="D8" s="45" t="s">
        <v>9</v>
      </c>
      <c r="E8" s="230"/>
      <c r="F8" s="231"/>
    </row>
    <row r="9" spans="2:9" s="59" customFormat="1" ht="33" customHeight="1">
      <c r="B9" s="228"/>
      <c r="C9" s="232" t="s">
        <v>101</v>
      </c>
      <c r="D9" s="46" t="s">
        <v>102</v>
      </c>
      <c r="E9" s="230"/>
      <c r="F9" s="231"/>
    </row>
    <row r="10" spans="2:9" s="59" customFormat="1" ht="33" customHeight="1">
      <c r="B10" s="228"/>
      <c r="C10" s="233"/>
      <c r="D10" s="47" t="s">
        <v>17</v>
      </c>
      <c r="E10" s="230"/>
      <c r="F10" s="231"/>
    </row>
    <row r="11" spans="2:9" s="59" customFormat="1" ht="70.5" customHeight="1">
      <c r="B11" s="219" t="s">
        <v>103</v>
      </c>
      <c r="C11" s="44" t="s">
        <v>104</v>
      </c>
      <c r="D11" s="79" t="s">
        <v>105</v>
      </c>
      <c r="E11" s="42" t="s">
        <v>151</v>
      </c>
      <c r="F11" s="43"/>
    </row>
    <row r="12" spans="2:9" s="59" customFormat="1" ht="44.25" customHeight="1">
      <c r="B12" s="220"/>
      <c r="C12" s="44" t="s">
        <v>106</v>
      </c>
      <c r="D12" s="79" t="s">
        <v>107</v>
      </c>
      <c r="E12" s="42" t="s">
        <v>151</v>
      </c>
      <c r="F12" s="43"/>
    </row>
    <row r="13" spans="2:9" s="59" customFormat="1" ht="32.25" customHeight="1">
      <c r="B13" s="101" t="s">
        <v>108</v>
      </c>
      <c r="C13" s="44" t="s">
        <v>109</v>
      </c>
      <c r="D13" s="79" t="s">
        <v>110</v>
      </c>
      <c r="E13" s="42" t="s">
        <v>151</v>
      </c>
      <c r="F13" s="43"/>
    </row>
    <row r="14" spans="2:9" s="59" customFormat="1" ht="28.8" customHeight="1">
      <c r="B14" s="102" t="s">
        <v>111</v>
      </c>
      <c r="C14" s="44" t="s">
        <v>112</v>
      </c>
      <c r="D14" s="45" t="s">
        <v>18</v>
      </c>
      <c r="E14" s="42" t="s">
        <v>19</v>
      </c>
      <c r="F14" s="43" t="s">
        <v>113</v>
      </c>
    </row>
    <row r="15" spans="2:9" s="59" customFormat="1" ht="28.8" customHeight="1">
      <c r="B15" s="102" t="s">
        <v>114</v>
      </c>
      <c r="C15" s="44" t="s">
        <v>115</v>
      </c>
      <c r="D15" s="79" t="s">
        <v>116</v>
      </c>
      <c r="E15" s="42" t="s">
        <v>117</v>
      </c>
      <c r="F15" s="43"/>
    </row>
    <row r="16" spans="2:9" s="59" customFormat="1" ht="23.4" customHeight="1" thickBot="1">
      <c r="B16" s="238" t="s">
        <v>150</v>
      </c>
      <c r="C16" s="239"/>
      <c r="D16" s="55" t="s">
        <v>148</v>
      </c>
      <c r="E16" s="234" t="s">
        <v>129</v>
      </c>
      <c r="F16" s="235"/>
      <c r="I16" s="59" t="s">
        <v>152</v>
      </c>
    </row>
    <row r="17" spans="2:6" s="48" customFormat="1" ht="5.25" customHeight="1">
      <c r="D17" s="49"/>
    </row>
    <row r="18" spans="2:6" s="50" customFormat="1" ht="30.75" customHeight="1">
      <c r="B18" s="221" t="s">
        <v>149</v>
      </c>
      <c r="C18" s="221"/>
      <c r="D18" s="221"/>
      <c r="E18" s="221"/>
      <c r="F18" s="221"/>
    </row>
    <row r="19" spans="2:6" s="50" customFormat="1" ht="20.100000000000001" customHeight="1">
      <c r="B19" s="70" t="s">
        <v>118</v>
      </c>
      <c r="C19" s="59"/>
      <c r="D19" s="71"/>
      <c r="E19" s="59"/>
      <c r="F19" s="59"/>
    </row>
    <row r="20" spans="2:6" s="50" customFormat="1" ht="20.100000000000001" customHeight="1">
      <c r="B20" s="70" t="s">
        <v>119</v>
      </c>
      <c r="C20" s="59"/>
      <c r="D20" s="71"/>
      <c r="E20" s="59"/>
      <c r="F20" s="59"/>
    </row>
    <row r="21" spans="2:6" s="50" customFormat="1" ht="20.100000000000001" customHeight="1">
      <c r="B21" s="70" t="s">
        <v>120</v>
      </c>
      <c r="C21" s="59"/>
      <c r="D21" s="71"/>
      <c r="E21" s="59"/>
      <c r="F21" s="59"/>
    </row>
    <row r="22" spans="2:6" customFormat="1" ht="30" customHeight="1">
      <c r="B22" s="51"/>
      <c r="C22" s="51"/>
      <c r="D22" s="52"/>
      <c r="E22" s="51"/>
      <c r="F22" s="51"/>
    </row>
    <row r="23" spans="2:6" s="4" customFormat="1" ht="30" customHeight="1">
      <c r="B23" s="51"/>
      <c r="C23" s="51"/>
      <c r="D23" s="52"/>
      <c r="E23" s="51"/>
      <c r="F23" s="51"/>
    </row>
    <row r="24" spans="2:6" s="4" customFormat="1">
      <c r="D24" s="28"/>
    </row>
    <row r="25" spans="2:6" s="4" customFormat="1">
      <c r="D25" s="28"/>
    </row>
    <row r="26" spans="2:6" s="4" customFormat="1">
      <c r="D26" s="28"/>
    </row>
    <row r="27" spans="2:6" s="4" customFormat="1">
      <c r="D27" s="28"/>
    </row>
  </sheetData>
  <mergeCells count="12">
    <mergeCell ref="B11:B12"/>
    <mergeCell ref="B18:F18"/>
    <mergeCell ref="B5:B6"/>
    <mergeCell ref="E5:E6"/>
    <mergeCell ref="F5:F6"/>
    <mergeCell ref="B7:B10"/>
    <mergeCell ref="E7:E10"/>
    <mergeCell ref="F7:F10"/>
    <mergeCell ref="C9:C10"/>
    <mergeCell ref="E16:F16"/>
    <mergeCell ref="C5:C6"/>
    <mergeCell ref="B16:C16"/>
  </mergeCells>
  <phoneticPr fontId="3" type="noConversion"/>
  <pageMargins left="0.70866141732283472" right="0.70866141732283472" top="0.74803149606299213" bottom="0.55118110236220474" header="0.31496062992125984" footer="0.31496062992125984"/>
  <pageSetup paperSize="9" scale="9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견적서(이노엔)</vt:lpstr>
      <vt:lpstr>견적서(콜마)</vt:lpstr>
      <vt:lpstr>그룹웨어유지보수내역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신재복</dc:creator>
  <cp:lastModifiedBy>김형준노트북</cp:lastModifiedBy>
  <cp:lastPrinted>2022-06-22T07:59:58Z</cp:lastPrinted>
  <dcterms:created xsi:type="dcterms:W3CDTF">2001-05-22T00:47:40Z</dcterms:created>
  <dcterms:modified xsi:type="dcterms:W3CDTF">2023-11-01T02:06:57Z</dcterms:modified>
</cp:coreProperties>
</file>